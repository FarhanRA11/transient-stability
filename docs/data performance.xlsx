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Kuliah\SKRIPSI\docs\"/>
    </mc:Choice>
  </mc:AlternateContent>
  <xr:revisionPtr revIDLastSave="0" documentId="13_ncr:1_{ACA22031-D8FF-4AFA-8797-B9E2ED47259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C26" i="3"/>
  <c r="D14" i="3"/>
  <c r="C14" i="3"/>
  <c r="D2" i="3"/>
  <c r="D32" i="2"/>
  <c r="C32" i="2"/>
  <c r="D20" i="2"/>
  <c r="C20" i="2"/>
  <c r="D8" i="2"/>
  <c r="F117" i="1"/>
  <c r="D117" i="1"/>
  <c r="F98" i="1"/>
  <c r="D98" i="1"/>
  <c r="F79" i="1"/>
  <c r="D79" i="1"/>
  <c r="H56" i="1"/>
  <c r="H57" i="1"/>
  <c r="F56" i="1"/>
  <c r="F57" i="1"/>
  <c r="D56" i="1"/>
  <c r="D57" i="1"/>
  <c r="D23" i="1"/>
  <c r="F109" i="1"/>
  <c r="F110" i="1"/>
  <c r="F111" i="1"/>
  <c r="F112" i="1"/>
  <c r="F113" i="1"/>
  <c r="F114" i="1"/>
  <c r="F115" i="1"/>
  <c r="F116" i="1"/>
  <c r="F118" i="1"/>
  <c r="F119" i="1"/>
  <c r="D109" i="1"/>
  <c r="D110" i="1"/>
  <c r="D111" i="1"/>
  <c r="D112" i="1"/>
  <c r="D113" i="1"/>
  <c r="D114" i="1"/>
  <c r="D115" i="1"/>
  <c r="D116" i="1"/>
  <c r="D118" i="1"/>
  <c r="D119" i="1"/>
  <c r="F108" i="1"/>
  <c r="D108" i="1"/>
  <c r="F90" i="1"/>
  <c r="F91" i="1"/>
  <c r="F92" i="1"/>
  <c r="F93" i="1"/>
  <c r="F94" i="1"/>
  <c r="F95" i="1"/>
  <c r="F96" i="1"/>
  <c r="F97" i="1"/>
  <c r="F99" i="1"/>
  <c r="F100" i="1"/>
  <c r="F89" i="1"/>
  <c r="D90" i="1"/>
  <c r="D91" i="1"/>
  <c r="D92" i="1"/>
  <c r="D93" i="1"/>
  <c r="D94" i="1"/>
  <c r="D95" i="1"/>
  <c r="D96" i="1"/>
  <c r="D97" i="1"/>
  <c r="D99" i="1"/>
  <c r="D100" i="1"/>
  <c r="D89" i="1"/>
  <c r="F71" i="1"/>
  <c r="F72" i="1"/>
  <c r="F73" i="1"/>
  <c r="F74" i="1"/>
  <c r="F75" i="1"/>
  <c r="F76" i="1"/>
  <c r="F77" i="1"/>
  <c r="F78" i="1"/>
  <c r="F80" i="1"/>
  <c r="F81" i="1"/>
  <c r="F70" i="1"/>
  <c r="D71" i="1"/>
  <c r="D72" i="1"/>
  <c r="D73" i="1"/>
  <c r="D74" i="1"/>
  <c r="D75" i="1"/>
  <c r="D76" i="1"/>
  <c r="D77" i="1"/>
  <c r="D78" i="1"/>
  <c r="D80" i="1"/>
  <c r="D81" i="1"/>
  <c r="D70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8" i="1"/>
  <c r="H59" i="1"/>
  <c r="H60" i="1"/>
  <c r="H61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8" i="1"/>
  <c r="F59" i="1"/>
  <c r="F60" i="1"/>
  <c r="F61" i="1"/>
  <c r="H39" i="1"/>
  <c r="H38" i="1"/>
  <c r="F39" i="1"/>
  <c r="F38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8" i="1"/>
  <c r="D59" i="1"/>
  <c r="D60" i="1"/>
  <c r="D61" i="1"/>
  <c r="D38" i="1"/>
  <c r="D39" i="1"/>
  <c r="G6" i="1"/>
  <c r="G5" i="1"/>
  <c r="E6" i="1"/>
  <c r="E5" i="1"/>
  <c r="C17" i="1"/>
  <c r="D17" i="1" s="1"/>
  <c r="C6" i="1"/>
  <c r="C5" i="1"/>
  <c r="D5" i="1" s="1"/>
  <c r="G4" i="1"/>
  <c r="H18" i="1" s="1"/>
  <c r="G3" i="1"/>
  <c r="H19" i="1" s="1"/>
  <c r="E4" i="1"/>
  <c r="F18" i="1" s="1"/>
  <c r="E3" i="1"/>
  <c r="F7" i="1" s="1"/>
  <c r="C4" i="1"/>
  <c r="D22" i="1" s="1"/>
  <c r="D21" i="1"/>
  <c r="D25" i="1"/>
  <c r="D27" i="1"/>
  <c r="D7" i="1"/>
  <c r="D9" i="1"/>
  <c r="D11" i="1"/>
  <c r="D13" i="1"/>
  <c r="D15" i="1"/>
  <c r="D19" i="1"/>
  <c r="D24" i="1" l="1"/>
  <c r="F24" i="1"/>
  <c r="F23" i="1"/>
  <c r="H24" i="1"/>
  <c r="H23" i="1"/>
  <c r="F5" i="1"/>
  <c r="H5" i="1"/>
  <c r="F6" i="1"/>
  <c r="H6" i="1"/>
  <c r="H17" i="1"/>
  <c r="H16" i="1"/>
  <c r="F15" i="1"/>
  <c r="H15" i="1"/>
  <c r="F14" i="1"/>
  <c r="H28" i="1"/>
  <c r="F13" i="1"/>
  <c r="H13" i="1"/>
  <c r="F27" i="1"/>
  <c r="F26" i="1"/>
  <c r="F12" i="1"/>
  <c r="H26" i="1"/>
  <c r="H12" i="1"/>
  <c r="H27" i="1"/>
  <c r="F25" i="1"/>
  <c r="F11" i="1"/>
  <c r="H25" i="1"/>
  <c r="H11" i="1"/>
  <c r="F28" i="1"/>
  <c r="H22" i="1"/>
  <c r="F16" i="1"/>
  <c r="H14" i="1"/>
  <c r="F22" i="1"/>
  <c r="F10" i="1"/>
  <c r="H10" i="1"/>
  <c r="F21" i="1"/>
  <c r="F9" i="1"/>
  <c r="H21" i="1"/>
  <c r="H9" i="1"/>
  <c r="H20" i="1"/>
  <c r="H7" i="1"/>
  <c r="F17" i="1"/>
  <c r="F20" i="1"/>
  <c r="F8" i="1"/>
  <c r="H8" i="1"/>
  <c r="F19" i="1"/>
  <c r="D18" i="1"/>
  <c r="D20" i="1"/>
  <c r="D10" i="1"/>
  <c r="D8" i="1"/>
  <c r="D16" i="1"/>
  <c r="D14" i="1"/>
  <c r="D26" i="1"/>
  <c r="D6" i="1"/>
  <c r="D28" i="1"/>
  <c r="D12" i="1"/>
</calcChain>
</file>

<file path=xl/sharedStrings.xml><?xml version="1.0" encoding="utf-8"?>
<sst xmlns="http://schemas.openxmlformats.org/spreadsheetml/2006/main" count="227" uniqueCount="29">
  <si>
    <t>D</t>
  </si>
  <si>
    <t>H</t>
  </si>
  <si>
    <t>-</t>
  </si>
  <si>
    <t>gen 1</t>
  </si>
  <si>
    <t>gen 2</t>
  </si>
  <si>
    <t>gen 3</t>
  </si>
  <si>
    <t>deviasi maksimum frekuensi (Hz)</t>
  </si>
  <si>
    <t>RoCoF maksimum (Hz/s)</t>
  </si>
  <si>
    <t>Settling time rotor terhadap generator 3 (s)</t>
  </si>
  <si>
    <t>Damping ratio (estimasi) osilasi sudut rotor, relatif terhadap generator 3 (%)</t>
  </si>
  <si>
    <t>Frekuensi teredam (estimasi) osilasi sudut rotor, relatif terhadap generator 3 (Hz)</t>
  </si>
  <si>
    <t>ts</t>
  </si>
  <si>
    <t>fd</t>
  </si>
  <si>
    <t>df+</t>
  </si>
  <si>
    <t>df-</t>
  </si>
  <si>
    <t>rocof+</t>
  </si>
  <si>
    <t>rocof-</t>
  </si>
  <si>
    <t>damp</t>
  </si>
  <si>
    <t>s</t>
  </si>
  <si>
    <t>df</t>
  </si>
  <si>
    <t>rocof</t>
  </si>
  <si>
    <t>baseline</t>
  </si>
  <si>
    <t>fct 20ms</t>
  </si>
  <si>
    <t>pv bus 1</t>
  </si>
  <si>
    <t>fault bus 1</t>
  </si>
  <si>
    <t>fault bus 2</t>
  </si>
  <si>
    <t>fault bus 3</t>
  </si>
  <si>
    <t>pv no vi</t>
  </si>
  <si>
    <t>pv with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</si>
</sst>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quotePrefix="1" applyNumberFormat="1"/>
    <xf numFmtId="164" fontId="0" fillId="0" borderId="0" xfId="0" applyNumberFormat="1"/>
    <xf numFmtId="0" fontId="0" fillId="0" borderId="0" xfId="0" quotePrefix="1"/>
    <xf numFmtId="0" fontId="2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3" fillId="2" borderId="0" xfId="1" applyNumberFormat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Sheet2!$B$10:$B$17</c:f>
              <c:numCache>
                <c:formatCode>General</c:formatCode>
                <c:ptCount val="8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Sheet2!$C$10:$C$17</c:f>
              <c:numCache>
                <c:formatCode>0.0000</c:formatCode>
                <c:ptCount val="8"/>
                <c:pt idx="0">
                  <c:v>0.46139999999999998</c:v>
                </c:pt>
                <c:pt idx="1">
                  <c:v>0.46329999999999671</c:v>
                </c:pt>
                <c:pt idx="2">
                  <c:v>0.46439999999999998</c:v>
                </c:pt>
                <c:pt idx="3">
                  <c:v>0.4647</c:v>
                </c:pt>
                <c:pt idx="4">
                  <c:v>0.46429999999999999</c:v>
                </c:pt>
                <c:pt idx="5">
                  <c:v>0.4637</c:v>
                </c:pt>
                <c:pt idx="6">
                  <c:v>2.5495000000000001</c:v>
                </c:pt>
                <c:pt idx="7">
                  <c:v>2.5322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0D-4FAB-8CB8-65785D907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185024"/>
        <c:axId val="630341088"/>
      </c:scatterChart>
      <c:valAx>
        <c:axId val="62818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341088"/>
        <c:crosses val="autoZero"/>
        <c:crossBetween val="midCat"/>
      </c:valAx>
      <c:valAx>
        <c:axId val="6303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18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Sheet2!$B$10:$B$17</c:f>
              <c:numCache>
                <c:formatCode>General</c:formatCode>
                <c:ptCount val="8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Sheet2!$D$10:$D$17</c:f>
              <c:numCache>
                <c:formatCode>0.0000</c:formatCode>
                <c:ptCount val="8"/>
                <c:pt idx="0">
                  <c:v>-2.0199999999999999E-2</c:v>
                </c:pt>
                <c:pt idx="1">
                  <c:v>-1.5999999999998238E-2</c:v>
                </c:pt>
                <c:pt idx="2">
                  <c:v>-1.3299999999999999E-2</c:v>
                </c:pt>
                <c:pt idx="3">
                  <c:v>-1.2999999999999999E-2</c:v>
                </c:pt>
                <c:pt idx="4">
                  <c:v>-1.26E-2</c:v>
                </c:pt>
                <c:pt idx="5">
                  <c:v>-1.1900000000000001E-2</c:v>
                </c:pt>
                <c:pt idx="6">
                  <c:v>-4.9000000000000002E-2</c:v>
                </c:pt>
                <c:pt idx="7">
                  <c:v>-4.99E-2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A-4232-B22E-74278CA57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607072"/>
        <c:axId val="604605152"/>
      </c:scatterChart>
      <c:valAx>
        <c:axId val="60460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05152"/>
        <c:crosses val="autoZero"/>
        <c:crossBetween val="midCat"/>
      </c:valAx>
      <c:valAx>
        <c:axId val="6046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0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Sheet2!$B$10:$B$17</c:f>
              <c:numCache>
                <c:formatCode>General</c:formatCode>
                <c:ptCount val="8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Sheet2!$E$10:$E$17</c:f>
              <c:numCache>
                <c:formatCode>0.0000</c:formatCode>
                <c:ptCount val="8"/>
                <c:pt idx="0">
                  <c:v>2.5072000000000001</c:v>
                </c:pt>
                <c:pt idx="1">
                  <c:v>2.5150000000000001</c:v>
                </c:pt>
                <c:pt idx="2">
                  <c:v>2.4986999999999999</c:v>
                </c:pt>
                <c:pt idx="3">
                  <c:v>2.4342000000000001</c:v>
                </c:pt>
                <c:pt idx="4">
                  <c:v>2.4131999999999998</c:v>
                </c:pt>
                <c:pt idx="5">
                  <c:v>2.3692000000000002</c:v>
                </c:pt>
                <c:pt idx="6">
                  <c:v>16.066400000000002</c:v>
                </c:pt>
                <c:pt idx="7">
                  <c:v>16.533100000000001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FC-44FD-B22C-942BEA130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27712"/>
        <c:axId val="415227232"/>
      </c:scatterChart>
      <c:valAx>
        <c:axId val="41522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27232"/>
        <c:crosses val="autoZero"/>
        <c:crossBetween val="midCat"/>
      </c:valAx>
      <c:valAx>
        <c:axId val="41522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2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Sheet2!$B$10:$B$17</c:f>
              <c:numCache>
                <c:formatCode>General</c:formatCode>
                <c:ptCount val="8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Sheet2!$F$10:$F$17</c:f>
              <c:numCache>
                <c:formatCode>0.0000</c:formatCode>
                <c:ptCount val="8"/>
                <c:pt idx="0">
                  <c:v>-2.6726000000000001</c:v>
                </c:pt>
                <c:pt idx="1">
                  <c:v>-2.7086000000000001</c:v>
                </c:pt>
                <c:pt idx="2">
                  <c:v>-2.7267999999999999</c:v>
                </c:pt>
                <c:pt idx="3">
                  <c:v>-2.7206999999999999</c:v>
                </c:pt>
                <c:pt idx="4">
                  <c:v>-2.7341000000000002</c:v>
                </c:pt>
                <c:pt idx="5">
                  <c:v>-2.7008999999999999</c:v>
                </c:pt>
                <c:pt idx="6">
                  <c:v>-12.904999999999999</c:v>
                </c:pt>
                <c:pt idx="7">
                  <c:v>-13.7385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8-4427-A424-23FF595C0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868720"/>
        <c:axId val="636869200"/>
      </c:scatterChart>
      <c:valAx>
        <c:axId val="63686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869200"/>
        <c:crosses val="autoZero"/>
        <c:crossBetween val="midCat"/>
      </c:valAx>
      <c:valAx>
        <c:axId val="6368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86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520505</xdr:colOff>
      <xdr:row>3</xdr:row>
      <xdr:rowOff>34437</xdr:rowOff>
    </xdr:from>
    <xdr:to>
      <xdr:col>20</xdr:col>
      <xdr:colOff>225523</xdr:colOff>
      <xdr:row>18</xdr:row>
      <xdr:rowOff>20516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E3253-3826-926A-C1E5-309D58A5D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518600</xdr:colOff>
      <xdr:row>18</xdr:row>
      <xdr:rowOff>58616</xdr:rowOff>
    </xdr:from>
    <xdr:to>
      <xdr:col>20</xdr:col>
      <xdr:colOff>227428</xdr:colOff>
      <xdr:row>33</xdr:row>
      <xdr:rowOff>52314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2C3736-0633-9D02-3FAC-06587D6FF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387448</xdr:colOff>
      <xdr:row>3</xdr:row>
      <xdr:rowOff>5862</xdr:rowOff>
    </xdr:from>
    <xdr:to>
      <xdr:col>28</xdr:col>
      <xdr:colOff>96276</xdr:colOff>
      <xdr:row>17</xdr:row>
      <xdr:rowOff>182734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928D03-3765-B2EA-642D-C6DA9A7C4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438883</xdr:colOff>
      <xdr:row>18</xdr:row>
      <xdr:rowOff>37661</xdr:rowOff>
    </xdr:from>
    <xdr:to>
      <xdr:col>28</xdr:col>
      <xdr:colOff>141996</xdr:colOff>
      <xdr:row>33</xdr:row>
      <xdr:rowOff>29454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10E19B-3ECB-3AD1-BF5A-A1578268D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"/>
  <sheetViews>
    <sheetView topLeftCell="A64" zoomScale="129" zoomScaleNormal="85" workbookViewId="0">
      <selection activeCell="E82" sqref="E82"/>
    </sheetView>
  </sheetViews>
  <sheetFormatPr defaultRowHeight="14.4" x14ac:dyDescent="0.3"/>
  <cols>
    <col min="4" max="4" width="9.33203125" bestFit="1" customWidth="1"/>
    <col min="6" max="6" width="9.5546875" bestFit="1" customWidth="1"/>
    <col min="8" max="8" width="9.33203125" bestFit="1" customWidth="1"/>
  </cols>
  <sheetData>
    <row r="1" spans="1:8" x14ac:dyDescent="0.3">
      <c r="A1" t="s">
        <v>6</v>
      </c>
    </row>
    <row r="2" spans="1:8" x14ac:dyDescent="0.3">
      <c r="A2" t="s">
        <v>0</v>
      </c>
      <c r="B2" t="s">
        <v>1</v>
      </c>
      <c r="C2" s="15" t="s">
        <v>3</v>
      </c>
      <c r="D2" s="15"/>
      <c r="E2" s="15" t="s">
        <v>4</v>
      </c>
      <c r="F2" s="15"/>
      <c r="G2" s="15" t="s">
        <v>5</v>
      </c>
      <c r="H2" s="15"/>
    </row>
    <row r="3" spans="1:8" x14ac:dyDescent="0.3">
      <c r="A3" s="14" t="s">
        <v>2</v>
      </c>
      <c r="B3" s="14" t="s">
        <v>2</v>
      </c>
      <c r="C3">
        <v>0.44579999999999997</v>
      </c>
      <c r="D3" s="6" t="s">
        <v>2</v>
      </c>
      <c r="E3">
        <f>50.5508-50</f>
        <v>0.5508000000000024</v>
      </c>
      <c r="F3" s="6" t="s">
        <v>2</v>
      </c>
      <c r="G3">
        <f>50.5679-50</f>
        <v>0.56790000000000163</v>
      </c>
      <c r="H3" s="6" t="s">
        <v>2</v>
      </c>
    </row>
    <row r="4" spans="1:8" x14ac:dyDescent="0.3">
      <c r="A4" s="15"/>
      <c r="B4" s="15"/>
      <c r="C4">
        <f>49.9866-50</f>
        <v>-1.3399999999997192E-2</v>
      </c>
      <c r="D4" s="6" t="s">
        <v>2</v>
      </c>
      <c r="E4">
        <f>49.8377-50</f>
        <v>-0.16230000000000189</v>
      </c>
      <c r="F4" s="6" t="s">
        <v>2</v>
      </c>
      <c r="G4">
        <f>49.8994-50</f>
        <v>-0.10060000000000002</v>
      </c>
      <c r="H4" s="6" t="s">
        <v>2</v>
      </c>
    </row>
    <row r="5" spans="1:8" x14ac:dyDescent="0.3">
      <c r="A5" s="14">
        <v>0</v>
      </c>
      <c r="B5" s="14">
        <v>0</v>
      </c>
      <c r="C5">
        <f>50.4642-50</f>
        <v>0.46419999999999817</v>
      </c>
      <c r="D5" s="7">
        <f>100*(C5-$C$3)/$C$3</f>
        <v>4.1274113952441001</v>
      </c>
      <c r="E5">
        <f>50.5467-50</f>
        <v>0.5467000000000013</v>
      </c>
      <c r="F5" s="7">
        <f>100*(E5-$E$3)/$E$3</f>
        <v>-0.74437182280339231</v>
      </c>
      <c r="G5">
        <f>50.5698-50</f>
        <v>0.56980000000000075</v>
      </c>
      <c r="H5" s="7">
        <f>100*(G5-$G$3)/$G$3</f>
        <v>0.33456594470842033</v>
      </c>
    </row>
    <row r="6" spans="1:8" x14ac:dyDescent="0.3">
      <c r="A6" s="15"/>
      <c r="B6" s="15"/>
      <c r="C6">
        <f>49.9844-50</f>
        <v>-1.559999999999917E-2</v>
      </c>
      <c r="D6" s="7">
        <f>100*(C6-$C$4)/$C$4</f>
        <v>16.417910447779398</v>
      </c>
      <c r="E6">
        <f>49.8366-50</f>
        <v>-0.16340000000000288</v>
      </c>
      <c r="F6" s="7">
        <f>100*(E6-$E$4)/$E$4</f>
        <v>0.67775723968020718</v>
      </c>
      <c r="G6">
        <f>49.9005-50</f>
        <v>-9.9499999999999034E-2</v>
      </c>
      <c r="H6" s="7">
        <f>100*(G6-$G$4)/$G$4</f>
        <v>-1.0934393638180804</v>
      </c>
    </row>
    <row r="7" spans="1:8" x14ac:dyDescent="0.3">
      <c r="A7" s="14">
        <v>0.1</v>
      </c>
      <c r="B7" s="14">
        <v>0.5</v>
      </c>
      <c r="C7">
        <v>0</v>
      </c>
      <c r="D7" s="7">
        <f>100*(C7-$C$3)/$C$3</f>
        <v>-100</v>
      </c>
      <c r="E7">
        <v>0</v>
      </c>
      <c r="F7" s="7">
        <f t="shared" ref="F7" si="0">100*(E7-$E$3)/$E$3</f>
        <v>-100</v>
      </c>
      <c r="G7">
        <v>0</v>
      </c>
      <c r="H7" s="7">
        <f t="shared" ref="H7" si="1">100*(G7-$G$3)/$G$3</f>
        <v>-100</v>
      </c>
    </row>
    <row r="8" spans="1:8" x14ac:dyDescent="0.3">
      <c r="A8" s="15"/>
      <c r="B8" s="15"/>
      <c r="C8">
        <v>0</v>
      </c>
      <c r="D8" s="7">
        <f>100*(C8-$C$4)/$C$4</f>
        <v>-100</v>
      </c>
      <c r="E8">
        <v>0</v>
      </c>
      <c r="F8" s="7">
        <f t="shared" ref="F8" si="2">100*(E8-$E$4)/$E$4</f>
        <v>-100</v>
      </c>
      <c r="G8">
        <v>0</v>
      </c>
      <c r="H8" s="7">
        <f t="shared" ref="H8" si="3">100*(G8-$G$4)/$G$4</f>
        <v>-100</v>
      </c>
    </row>
    <row r="9" spans="1:8" x14ac:dyDescent="0.3">
      <c r="A9" s="14">
        <v>0.5</v>
      </c>
      <c r="B9" s="14">
        <v>0.5</v>
      </c>
      <c r="C9">
        <v>0</v>
      </c>
      <c r="D9" s="7">
        <f t="shared" ref="D9" si="4">100*(C9-$C$3)/$C$3</f>
        <v>-100</v>
      </c>
      <c r="E9">
        <v>0</v>
      </c>
      <c r="F9" s="7">
        <f t="shared" ref="F9" si="5">100*(E9-$E$3)/$E$3</f>
        <v>-100</v>
      </c>
      <c r="G9">
        <v>0</v>
      </c>
      <c r="H9" s="7">
        <f t="shared" ref="H9" si="6">100*(G9-$G$3)/$G$3</f>
        <v>-100</v>
      </c>
    </row>
    <row r="10" spans="1:8" x14ac:dyDescent="0.3">
      <c r="A10" s="15"/>
      <c r="B10" s="15"/>
      <c r="C10">
        <v>0</v>
      </c>
      <c r="D10" s="7">
        <f t="shared" ref="D10" si="7">100*(C10-$C$4)/$C$4</f>
        <v>-100</v>
      </c>
      <c r="E10">
        <v>0</v>
      </c>
      <c r="F10" s="7">
        <f t="shared" ref="F10" si="8">100*(E10-$E$4)/$E$4</f>
        <v>-100</v>
      </c>
      <c r="G10">
        <v>0</v>
      </c>
      <c r="H10" s="7">
        <f t="shared" ref="H10" si="9">100*(G10-$G$4)/$G$4</f>
        <v>-100</v>
      </c>
    </row>
    <row r="11" spans="1:8" x14ac:dyDescent="0.3">
      <c r="A11" s="14">
        <v>2</v>
      </c>
      <c r="B11" s="14">
        <v>0.5</v>
      </c>
      <c r="C11">
        <v>0.45429999999999998</v>
      </c>
      <c r="D11" s="7">
        <f t="shared" ref="D11" si="10">100*(C11-$C$3)/$C$3</f>
        <v>1.9066846119336043</v>
      </c>
      <c r="E11">
        <v>0.54049999999999998</v>
      </c>
      <c r="F11" s="7">
        <f t="shared" ref="F11" si="11">100*(E11-$E$3)/$E$3</f>
        <v>-1.8700072621645558</v>
      </c>
      <c r="G11">
        <v>0.56159999999999999</v>
      </c>
      <c r="H11" s="7">
        <f t="shared" ref="H11" si="12">100*(G11-$G$3)/$G$3</f>
        <v>-1.1093502377181932</v>
      </c>
    </row>
    <row r="12" spans="1:8" x14ac:dyDescent="0.3">
      <c r="A12" s="15"/>
      <c r="B12" s="15"/>
      <c r="C12">
        <v>-2.0899999999999998E-2</v>
      </c>
      <c r="D12" s="7">
        <f t="shared" ref="D12" si="13">100*(C12-$C$4)/$C$4</f>
        <v>55.970149253764021</v>
      </c>
      <c r="E12">
        <v>-0.1681</v>
      </c>
      <c r="F12" s="7">
        <f t="shared" ref="F12" si="14">100*(E12-$E$4)/$E$4</f>
        <v>3.573629081945807</v>
      </c>
      <c r="G12">
        <v>-0.1075</v>
      </c>
      <c r="H12" s="7">
        <f t="shared" ref="H12" si="15">100*(G12-$G$4)/$G$4</f>
        <v>6.8588469184890393</v>
      </c>
    </row>
    <row r="13" spans="1:8" x14ac:dyDescent="0.3">
      <c r="A13" s="14">
        <v>6</v>
      </c>
      <c r="B13" s="14">
        <v>0.5</v>
      </c>
      <c r="C13">
        <v>0</v>
      </c>
      <c r="D13" s="7">
        <f t="shared" ref="D13" si="16">100*(C13-$C$3)/$C$3</f>
        <v>-100</v>
      </c>
      <c r="E13">
        <v>0</v>
      </c>
      <c r="F13" s="7">
        <f t="shared" ref="F13" si="17">100*(E13-$E$3)/$E$3</f>
        <v>-100</v>
      </c>
      <c r="G13">
        <v>0</v>
      </c>
      <c r="H13" s="7">
        <f t="shared" ref="H13" si="18">100*(G13-$G$3)/$G$3</f>
        <v>-100</v>
      </c>
    </row>
    <row r="14" spans="1:8" x14ac:dyDescent="0.3">
      <c r="A14" s="15"/>
      <c r="B14" s="15"/>
      <c r="C14">
        <v>0</v>
      </c>
      <c r="D14" s="7">
        <f t="shared" ref="D14" si="19">100*(C14-$C$4)/$C$4</f>
        <v>-100</v>
      </c>
      <c r="E14">
        <v>0</v>
      </c>
      <c r="F14" s="7">
        <f t="shared" ref="F14" si="20">100*(E14-$E$4)/$E$4</f>
        <v>-100</v>
      </c>
      <c r="G14">
        <v>0</v>
      </c>
      <c r="H14" s="7">
        <f t="shared" ref="H14" si="21">100*(G14-$G$4)/$G$4</f>
        <v>-100</v>
      </c>
    </row>
    <row r="15" spans="1:8" x14ac:dyDescent="0.3">
      <c r="A15" s="14">
        <v>12</v>
      </c>
      <c r="B15" s="14">
        <v>0.5</v>
      </c>
      <c r="C15">
        <v>0.4289</v>
      </c>
      <c r="D15" s="7">
        <f t="shared" ref="D15" si="22">100*(C15-$C$3)/$C$3</f>
        <v>-3.7909376401973915</v>
      </c>
      <c r="E15">
        <v>0.48659999999999998</v>
      </c>
      <c r="F15" s="7">
        <f t="shared" ref="F15" si="23">100*(E15-$E$3)/$E$3</f>
        <v>-11.655773420479692</v>
      </c>
      <c r="G15">
        <v>0.52190000000000003</v>
      </c>
      <c r="H15" s="7">
        <f t="shared" ref="H15" si="24">100*(G15-$G$3)/$G$3</f>
        <v>-8.1000176087341895</v>
      </c>
    </row>
    <row r="16" spans="1:8" x14ac:dyDescent="0.3">
      <c r="A16" s="15"/>
      <c r="B16" s="15"/>
      <c r="C16">
        <v>-6.2300000000000001E-2</v>
      </c>
      <c r="D16" s="7">
        <f t="shared" ref="D16" si="25">100*(C16-$C$4)/$C$4</f>
        <v>364.9253731344258</v>
      </c>
      <c r="E16">
        <v>-0.2167</v>
      </c>
      <c r="F16" s="7">
        <f t="shared" ref="F16" si="26">100*(E16-$E$4)/$E$4</f>
        <v>33.518176216880761</v>
      </c>
      <c r="G16">
        <v>-0.1648</v>
      </c>
      <c r="H16" s="7">
        <f t="shared" ref="H16" si="27">100*(G16-$G$4)/$G$4</f>
        <v>63.817097415506929</v>
      </c>
    </row>
    <row r="17" spans="1:8" x14ac:dyDescent="0.3">
      <c r="A17" s="14">
        <v>1</v>
      </c>
      <c r="B17" s="14">
        <v>0.5</v>
      </c>
      <c r="C17">
        <f>50.4633-50</f>
        <v>0.46329999999999671</v>
      </c>
      <c r="D17" s="7">
        <f t="shared" ref="D17" si="28">100*(C17-$C$3)/$C$3</f>
        <v>3.9255271422155094</v>
      </c>
      <c r="E17">
        <v>0.5343</v>
      </c>
      <c r="F17" s="7">
        <f t="shared" ref="F17" si="29">100*(E17-$E$3)/$E$3</f>
        <v>-2.9956427015254774</v>
      </c>
      <c r="G17">
        <v>0.56440000000000001</v>
      </c>
      <c r="H17" s="7">
        <f t="shared" ref="H17" si="30">100*(G17-$G$3)/$G$3</f>
        <v>-0.6163056876213423</v>
      </c>
    </row>
    <row r="18" spans="1:8" x14ac:dyDescent="0.3">
      <c r="A18" s="15"/>
      <c r="B18" s="15"/>
      <c r="C18">
        <v>-1.5999999999998238E-2</v>
      </c>
      <c r="D18" s="7">
        <f>100*(C18-$C$4)/$C$4</f>
        <v>19.402985074638735</v>
      </c>
      <c r="E18">
        <v>-0.1719</v>
      </c>
      <c r="F18" s="7">
        <f t="shared" ref="F18" si="31">100*(E18-$E$4)/$E$4</f>
        <v>5.9149722735662342</v>
      </c>
      <c r="G18">
        <v>-0.1137</v>
      </c>
      <c r="H18" s="7">
        <f t="shared" ref="H18" si="32">100*(G18-$G$4)/$G$4</f>
        <v>13.021868787276313</v>
      </c>
    </row>
    <row r="19" spans="1:8" x14ac:dyDescent="0.3">
      <c r="A19" s="14">
        <v>1</v>
      </c>
      <c r="B19" s="14">
        <v>1</v>
      </c>
      <c r="C19">
        <v>0.46439999999999998</v>
      </c>
      <c r="D19" s="7">
        <f t="shared" ref="D19" si="33">100*(C19-$C$3)/$C$3</f>
        <v>4.1722745625841196</v>
      </c>
      <c r="E19">
        <v>0.53369999999999995</v>
      </c>
      <c r="F19" s="7">
        <f t="shared" ref="F19" si="34">100*(E19-$E$3)/$E$3</f>
        <v>-3.1045751633991236</v>
      </c>
      <c r="G19">
        <v>0.56430000000000002</v>
      </c>
      <c r="H19" s="7">
        <f t="shared" ref="H19" si="35">100*(G19-$G$3)/$G$3</f>
        <v>-0.63391442155337063</v>
      </c>
    </row>
    <row r="20" spans="1:8" x14ac:dyDescent="0.3">
      <c r="A20" s="15"/>
      <c r="B20" s="15"/>
      <c r="C20">
        <v>-1.3299999999999999E-2</v>
      </c>
      <c r="D20" s="7">
        <f t="shared" ref="D20" si="36">100*(C20-$C$4)/$C$4</f>
        <v>-0.74626865669562359</v>
      </c>
      <c r="E20">
        <v>-0.1762</v>
      </c>
      <c r="F20" s="7">
        <f t="shared" ref="F20" si="37">100*(E20-$E$4)/$E$4</f>
        <v>8.5643869377682975</v>
      </c>
      <c r="G20">
        <v>-0.12089999999999999</v>
      </c>
      <c r="H20" s="7">
        <f t="shared" ref="H20" si="38">100*(G20-$G$4)/$G$4</f>
        <v>20.178926441351855</v>
      </c>
    </row>
    <row r="21" spans="1:8" x14ac:dyDescent="0.3">
      <c r="A21" s="14">
        <v>1</v>
      </c>
      <c r="B21" s="14">
        <v>2</v>
      </c>
      <c r="C21">
        <v>0.4647</v>
      </c>
      <c r="D21" s="7">
        <f>100*(C21-$C$3)/$C$3</f>
        <v>4.2395693135935462</v>
      </c>
      <c r="E21">
        <v>0.53120000000000001</v>
      </c>
      <c r="F21" s="7">
        <f t="shared" ref="F21:F23" si="39">100*(E21-$E$3)/$E$3</f>
        <v>-3.5584604212059383</v>
      </c>
      <c r="G21">
        <v>0.56479999999999997</v>
      </c>
      <c r="H21" s="7">
        <f t="shared" ref="H21:H23" si="40">100*(G21-$G$3)/$G$3</f>
        <v>-0.54587075189322909</v>
      </c>
    </row>
    <row r="22" spans="1:8" x14ac:dyDescent="0.3">
      <c r="A22" s="15"/>
      <c r="B22" s="15"/>
      <c r="C22">
        <v>-1.2999999999999999E-2</v>
      </c>
      <c r="D22" s="7">
        <f>100*(C22-$C$4)/$C$4</f>
        <v>-2.9850746268453459</v>
      </c>
      <c r="E22">
        <v>-0.1827</v>
      </c>
      <c r="F22" s="7">
        <f t="shared" ref="F22:F24" si="41">100*(E22-$E$4)/$E$4</f>
        <v>12.569316081329561</v>
      </c>
      <c r="G22">
        <v>-0.13189999999999999</v>
      </c>
      <c r="H22" s="7">
        <f t="shared" ref="H22:H24" si="42">100*(G22-$G$4)/$G$4</f>
        <v>31.113320079522826</v>
      </c>
    </row>
    <row r="23" spans="1:8" x14ac:dyDescent="0.3">
      <c r="A23" s="14">
        <v>1</v>
      </c>
      <c r="B23" s="14">
        <v>4</v>
      </c>
      <c r="C23">
        <v>0.4637</v>
      </c>
      <c r="D23" s="7">
        <f>100*(C23-$C$3)/$C$3</f>
        <v>4.0152534768954755</v>
      </c>
      <c r="E23">
        <v>0.52349999999999997</v>
      </c>
      <c r="F23" s="7">
        <f t="shared" si="39"/>
        <v>-4.9564270152509646</v>
      </c>
      <c r="G23">
        <v>0.56610000000000005</v>
      </c>
      <c r="H23" s="7">
        <f t="shared" si="40"/>
        <v>-0.31695721077682215</v>
      </c>
    </row>
    <row r="24" spans="1:8" x14ac:dyDescent="0.3">
      <c r="A24" s="15"/>
      <c r="B24" s="15"/>
      <c r="C24">
        <v>-1.1900000000000001E-2</v>
      </c>
      <c r="D24" s="7">
        <f>100*(C24-$C$4)/$C$4</f>
        <v>-11.194029850727652</v>
      </c>
      <c r="E24">
        <v>-0.19400000000000001</v>
      </c>
      <c r="F24" s="7">
        <f t="shared" si="41"/>
        <v>19.53173136167452</v>
      </c>
      <c r="G24">
        <v>-0.15090000000000001</v>
      </c>
      <c r="H24" s="7">
        <f t="shared" si="42"/>
        <v>49.999999999999972</v>
      </c>
    </row>
    <row r="25" spans="1:8" x14ac:dyDescent="0.3">
      <c r="A25" s="14">
        <v>1</v>
      </c>
      <c r="B25" s="14">
        <v>6</v>
      </c>
      <c r="C25">
        <v>2.5322</v>
      </c>
      <c r="D25" s="7">
        <f>100*(C25-$C$3)/$C$3</f>
        <v>468.01256168685518</v>
      </c>
      <c r="E25">
        <v>2.4857</v>
      </c>
      <c r="F25" s="7">
        <f t="shared" ref="F25" si="43">100*(E25-$E$3)/$E$3</f>
        <v>351.28903413216943</v>
      </c>
      <c r="G25">
        <v>2.6185999999999998</v>
      </c>
      <c r="H25" s="7">
        <f t="shared" ref="H25" si="44">100*(G25-$G$3)/$G$3</f>
        <v>361.10230674414373</v>
      </c>
    </row>
    <row r="26" spans="1:8" x14ac:dyDescent="0.3">
      <c r="A26" s="15"/>
      <c r="B26" s="15"/>
      <c r="C26">
        <v>-4.99E-2</v>
      </c>
      <c r="D26" s="7">
        <f>100*(C26-$C$4)/$C$4</f>
        <v>272.38805970157057</v>
      </c>
      <c r="E26">
        <v>-5.0999999999999997E-2</v>
      </c>
      <c r="F26" s="7">
        <f t="shared" ref="F26" si="45">100*(E26-$E$4)/$E$4</f>
        <v>-68.5767097966732</v>
      </c>
      <c r="G26">
        <v>-5.3600000000000002E-2</v>
      </c>
      <c r="H26" s="7">
        <f t="shared" ref="H26" si="46">100*(G26-$G$4)/$G$4</f>
        <v>-46.719681908548715</v>
      </c>
    </row>
    <row r="27" spans="1:8" x14ac:dyDescent="0.3">
      <c r="A27" s="14">
        <v>1</v>
      </c>
      <c r="B27" s="14">
        <v>8</v>
      </c>
      <c r="C27">
        <v>0</v>
      </c>
      <c r="D27" s="7">
        <f t="shared" ref="D27" si="47">100*(C27-$C$3)/$C$3</f>
        <v>-100</v>
      </c>
      <c r="E27">
        <v>0</v>
      </c>
      <c r="F27" s="7">
        <f t="shared" ref="F27" si="48">100*(E27-$E$3)/$E$3</f>
        <v>-100</v>
      </c>
      <c r="G27">
        <v>0</v>
      </c>
      <c r="H27" s="7">
        <f t="shared" ref="H27" si="49">100*(G27-$G$3)/$G$3</f>
        <v>-100</v>
      </c>
    </row>
    <row r="28" spans="1:8" x14ac:dyDescent="0.3">
      <c r="A28" s="15"/>
      <c r="B28" s="15"/>
      <c r="C28">
        <v>0</v>
      </c>
      <c r="D28" s="7">
        <f t="shared" ref="D28" si="50">100*(C28-$C$4)/$C$4</f>
        <v>-100</v>
      </c>
      <c r="E28">
        <v>0</v>
      </c>
      <c r="F28" s="7">
        <f t="shared" ref="F28" si="51">100*(E28-$E$4)/$E$4</f>
        <v>-100</v>
      </c>
      <c r="G28">
        <v>0</v>
      </c>
      <c r="H28" s="7">
        <f t="shared" ref="H28" si="52">100*(G28-$G$4)/$G$4</f>
        <v>-100</v>
      </c>
    </row>
    <row r="29" spans="1:8" x14ac:dyDescent="0.3">
      <c r="A29" s="8"/>
      <c r="B29" s="8"/>
      <c r="D29" s="7"/>
      <c r="F29" s="7"/>
      <c r="H29" s="7"/>
    </row>
    <row r="30" spans="1:8" x14ac:dyDescent="0.3">
      <c r="D30" s="7"/>
      <c r="F30" s="7"/>
      <c r="H30" s="7"/>
    </row>
    <row r="34" spans="1:17" x14ac:dyDescent="0.3">
      <c r="A34" t="s">
        <v>7</v>
      </c>
    </row>
    <row r="35" spans="1:17" x14ac:dyDescent="0.3">
      <c r="A35" t="s">
        <v>0</v>
      </c>
      <c r="B35" t="s">
        <v>1</v>
      </c>
      <c r="C35" s="15" t="s">
        <v>3</v>
      </c>
      <c r="D35" s="15"/>
      <c r="E35" s="15" t="s">
        <v>4</v>
      </c>
      <c r="F35" s="15"/>
      <c r="G35" s="15" t="s">
        <v>5</v>
      </c>
      <c r="H35" s="15"/>
      <c r="J35" s="3"/>
    </row>
    <row r="36" spans="1:17" x14ac:dyDescent="0.3">
      <c r="A36" s="14" t="s">
        <v>2</v>
      </c>
      <c r="B36" s="14" t="s">
        <v>2</v>
      </c>
      <c r="C36">
        <v>2.3113000000000001</v>
      </c>
      <c r="D36" s="6" t="s">
        <v>2</v>
      </c>
      <c r="E36">
        <v>6.4161000000000001</v>
      </c>
      <c r="F36" s="6" t="s">
        <v>2</v>
      </c>
      <c r="G36">
        <v>5.0690999999999997</v>
      </c>
      <c r="H36" s="6" t="s">
        <v>2</v>
      </c>
      <c r="J36" s="4"/>
      <c r="K36" s="4"/>
      <c r="L36" s="4"/>
      <c r="M36" s="4"/>
      <c r="N36" s="4"/>
      <c r="O36" s="4"/>
      <c r="P36" s="4"/>
      <c r="Q36" s="4"/>
    </row>
    <row r="37" spans="1:17" x14ac:dyDescent="0.3">
      <c r="A37" s="15"/>
      <c r="B37" s="15"/>
      <c r="C37">
        <v>-2.4767999999999999</v>
      </c>
      <c r="D37" s="6" t="s">
        <v>2</v>
      </c>
      <c r="E37">
        <v>-6.9343000000000004</v>
      </c>
      <c r="F37" s="6" t="s">
        <v>2</v>
      </c>
      <c r="G37">
        <v>-5.1708999999999996</v>
      </c>
      <c r="H37" s="6" t="s">
        <v>2</v>
      </c>
      <c r="J37" s="4"/>
      <c r="K37" s="4"/>
      <c r="L37" s="4"/>
      <c r="M37" s="4"/>
      <c r="N37" s="4"/>
      <c r="O37" s="4"/>
      <c r="P37" s="4"/>
      <c r="Q37" s="4"/>
    </row>
    <row r="38" spans="1:17" x14ac:dyDescent="0.3">
      <c r="A38" s="14">
        <v>0</v>
      </c>
      <c r="B38" s="14">
        <v>0</v>
      </c>
      <c r="C38">
        <v>2.2355999999999998</v>
      </c>
      <c r="D38" s="7">
        <f>100*(C38-$C$36)/$C$36</f>
        <v>-3.27521308354607</v>
      </c>
      <c r="E38">
        <v>6.4889999999999999</v>
      </c>
      <c r="F38" s="7">
        <f>100*(E38-$E$36)/$E$36</f>
        <v>1.1362042362182594</v>
      </c>
      <c r="G38">
        <v>5.1047000000000002</v>
      </c>
      <c r="H38" s="7">
        <f>100*(G38-$G$36)/$G$36</f>
        <v>0.70229429287251233</v>
      </c>
      <c r="J38" s="4"/>
      <c r="K38" s="4"/>
      <c r="L38" s="4"/>
      <c r="M38" s="5"/>
      <c r="N38" s="4"/>
      <c r="O38" s="5"/>
      <c r="P38" s="4"/>
      <c r="Q38" s="5"/>
    </row>
    <row r="39" spans="1:17" x14ac:dyDescent="0.3">
      <c r="A39" s="15"/>
      <c r="B39" s="15"/>
      <c r="C39">
        <v>-2.6739000000000002</v>
      </c>
      <c r="D39" s="7">
        <f>100*(C39-$C$37)/$C$37</f>
        <v>7.9578488372093146</v>
      </c>
      <c r="E39">
        <v>-7.0477999999999996</v>
      </c>
      <c r="F39" s="7">
        <f>100*(E39-$E$37)/$E$37</f>
        <v>1.6367910243283281</v>
      </c>
      <c r="G39">
        <v>-5.1616</v>
      </c>
      <c r="H39" s="7">
        <f>100*(G39-$G$37)/$G$37</f>
        <v>-0.17985263687171754</v>
      </c>
      <c r="J39" s="4"/>
      <c r="K39" s="4"/>
      <c r="L39" s="5"/>
      <c r="M39" s="5"/>
      <c r="N39" s="5"/>
      <c r="O39" s="5"/>
      <c r="P39" s="5"/>
      <c r="Q39" s="5"/>
    </row>
    <row r="40" spans="1:17" x14ac:dyDescent="0.3">
      <c r="A40" s="14">
        <v>0.1</v>
      </c>
      <c r="B40" s="14">
        <v>0.5</v>
      </c>
      <c r="C40">
        <v>0</v>
      </c>
      <c r="D40" s="7">
        <f t="shared" ref="D40" si="53">100*(C40-$C$36)/$C$36</f>
        <v>-100</v>
      </c>
      <c r="E40">
        <v>0</v>
      </c>
      <c r="F40" s="7">
        <f t="shared" ref="F40" si="54">100*(E40-$E$36)/$E$36</f>
        <v>-100</v>
      </c>
      <c r="G40">
        <v>0</v>
      </c>
      <c r="H40" s="7">
        <f t="shared" ref="H40" si="55">100*(G40-$G$36)/$G$36</f>
        <v>-100</v>
      </c>
      <c r="J40" s="4"/>
      <c r="K40" s="4"/>
      <c r="L40" s="5"/>
      <c r="M40" s="5"/>
      <c r="N40" s="5"/>
      <c r="O40" s="5"/>
      <c r="P40" s="5"/>
      <c r="Q40" s="5"/>
    </row>
    <row r="41" spans="1:17" x14ac:dyDescent="0.3">
      <c r="A41" s="15"/>
      <c r="B41" s="15"/>
      <c r="C41">
        <v>0</v>
      </c>
      <c r="D41" s="7">
        <f t="shared" ref="D41" si="56">100*(C41-$C$37)/$C$37</f>
        <v>-100</v>
      </c>
      <c r="E41">
        <v>0</v>
      </c>
      <c r="F41" s="7">
        <f t="shared" ref="F41" si="57">100*(E41-$E$37)/$E$37</f>
        <v>-100</v>
      </c>
      <c r="G41">
        <v>0</v>
      </c>
      <c r="H41" s="7">
        <f t="shared" ref="H41" si="58">100*(G41-$G$37)/$G$37</f>
        <v>-99.999999999999986</v>
      </c>
      <c r="J41" s="4"/>
      <c r="K41" s="4"/>
      <c r="L41" s="5"/>
      <c r="M41" s="5"/>
      <c r="N41" s="5"/>
      <c r="O41" s="5"/>
      <c r="P41" s="5"/>
      <c r="Q41" s="5"/>
    </row>
    <row r="42" spans="1:17" x14ac:dyDescent="0.3">
      <c r="A42" s="14">
        <v>0.5</v>
      </c>
      <c r="B42" s="14">
        <v>0.5</v>
      </c>
      <c r="C42">
        <v>0</v>
      </c>
      <c r="D42" s="7">
        <f t="shared" ref="D42" si="59">100*(C42-$C$36)/$C$36</f>
        <v>-100</v>
      </c>
      <c r="E42">
        <v>0</v>
      </c>
      <c r="F42" s="7">
        <f t="shared" ref="F42" si="60">100*(E42-$E$36)/$E$36</f>
        <v>-100</v>
      </c>
      <c r="G42">
        <v>0</v>
      </c>
      <c r="H42" s="7">
        <f t="shared" ref="H42" si="61">100*(G42-$G$36)/$G$36</f>
        <v>-100</v>
      </c>
      <c r="J42" s="4"/>
      <c r="K42" s="4"/>
      <c r="L42" s="5"/>
      <c r="M42" s="5"/>
      <c r="N42" s="5"/>
      <c r="O42" s="5"/>
      <c r="P42" s="5"/>
      <c r="Q42" s="5"/>
    </row>
    <row r="43" spans="1:17" x14ac:dyDescent="0.3">
      <c r="A43" s="15"/>
      <c r="B43" s="15"/>
      <c r="C43">
        <v>0</v>
      </c>
      <c r="D43" s="7">
        <f t="shared" ref="D43" si="62">100*(C43-$C$37)/$C$37</f>
        <v>-100</v>
      </c>
      <c r="E43">
        <v>0</v>
      </c>
      <c r="F43" s="7">
        <f t="shared" ref="F43" si="63">100*(E43-$E$37)/$E$37</f>
        <v>-100</v>
      </c>
      <c r="G43">
        <v>0</v>
      </c>
      <c r="H43" s="7">
        <f t="shared" ref="H43" si="64">100*(G43-$G$37)/$G$37</f>
        <v>-99.999999999999986</v>
      </c>
      <c r="J43" s="4"/>
      <c r="K43" s="4"/>
      <c r="L43" s="5"/>
      <c r="M43" s="5"/>
      <c r="N43" s="5"/>
      <c r="O43" s="5"/>
      <c r="P43" s="5"/>
      <c r="Q43" s="5"/>
    </row>
    <row r="44" spans="1:17" x14ac:dyDescent="0.3">
      <c r="A44" s="14">
        <v>2</v>
      </c>
      <c r="B44" s="14">
        <v>0.5</v>
      </c>
      <c r="C44">
        <v>2.4422999999999999</v>
      </c>
      <c r="D44" s="7">
        <f t="shared" ref="D44" si="65">100*(C44-$C$36)/$C$36</f>
        <v>5.6678059966252663</v>
      </c>
      <c r="E44">
        <v>6.4847999999999999</v>
      </c>
      <c r="F44" s="7">
        <f t="shared" ref="F44" si="66">100*(E44-$E$36)/$E$36</f>
        <v>1.0707439098517755</v>
      </c>
      <c r="G44">
        <v>5.1032999999999999</v>
      </c>
      <c r="H44" s="7">
        <f t="shared" ref="H44" si="67">100*(G44-$G$36)/$G$36</f>
        <v>0.67467597798426215</v>
      </c>
      <c r="J44" s="4"/>
      <c r="K44" s="4"/>
      <c r="L44" s="4"/>
      <c r="M44" s="5"/>
      <c r="N44" s="4"/>
      <c r="O44" s="5"/>
      <c r="P44" s="4"/>
      <c r="Q44" s="5"/>
    </row>
    <row r="45" spans="1:17" x14ac:dyDescent="0.3">
      <c r="A45" s="15"/>
      <c r="B45" s="15"/>
      <c r="C45">
        <v>-2.6021999999999998</v>
      </c>
      <c r="D45" s="7">
        <f t="shared" ref="D45" si="68">100*(C45-$C$37)/$C$37</f>
        <v>5.0629844961240291</v>
      </c>
      <c r="E45">
        <v>-7.0852000000000004</v>
      </c>
      <c r="F45" s="7">
        <f t="shared" ref="F45" si="69">100*(E45-$E$37)/$E$37</f>
        <v>2.1761389037105405</v>
      </c>
      <c r="G45">
        <v>-5.1881000000000004</v>
      </c>
      <c r="H45" s="7">
        <f t="shared" ref="H45" si="70">100*(G45-$G$37)/$G$37</f>
        <v>0.33263068324664508</v>
      </c>
      <c r="J45" s="4"/>
      <c r="K45" s="4"/>
      <c r="L45" s="5"/>
      <c r="M45" s="5"/>
      <c r="N45" s="5"/>
      <c r="O45" s="5"/>
      <c r="P45" s="5"/>
      <c r="Q45" s="5"/>
    </row>
    <row r="46" spans="1:17" x14ac:dyDescent="0.3">
      <c r="A46" s="14">
        <v>6</v>
      </c>
      <c r="B46" s="14">
        <v>0.5</v>
      </c>
      <c r="C46">
        <v>0</v>
      </c>
      <c r="D46" s="7">
        <f t="shared" ref="D46" si="71">100*(C46-$C$36)/$C$36</f>
        <v>-100</v>
      </c>
      <c r="E46">
        <v>0</v>
      </c>
      <c r="F46" s="7">
        <f t="shared" ref="F46" si="72">100*(E46-$E$36)/$E$36</f>
        <v>-100</v>
      </c>
      <c r="G46">
        <v>0</v>
      </c>
      <c r="H46" s="7">
        <f t="shared" ref="H46" si="73">100*(G46-$G$36)/$G$36</f>
        <v>-100</v>
      </c>
      <c r="J46" s="4"/>
      <c r="K46" s="4"/>
      <c r="L46" s="5"/>
      <c r="M46" s="5"/>
      <c r="N46" s="5"/>
      <c r="O46" s="5"/>
      <c r="P46" s="5"/>
      <c r="Q46" s="5"/>
    </row>
    <row r="47" spans="1:17" x14ac:dyDescent="0.3">
      <c r="A47" s="15"/>
      <c r="B47" s="15"/>
      <c r="C47">
        <v>0</v>
      </c>
      <c r="D47" s="7">
        <f t="shared" ref="D47" si="74">100*(C47-$C$37)/$C$37</f>
        <v>-100</v>
      </c>
      <c r="E47">
        <v>0</v>
      </c>
      <c r="F47" s="7">
        <f t="shared" ref="F47" si="75">100*(E47-$E$37)/$E$37</f>
        <v>-100</v>
      </c>
      <c r="G47">
        <v>0</v>
      </c>
      <c r="H47" s="7">
        <f t="shared" ref="H47" si="76">100*(G47-$G$37)/$G$37</f>
        <v>-99.999999999999986</v>
      </c>
      <c r="J47" s="4"/>
      <c r="K47" s="4"/>
      <c r="L47" s="5"/>
      <c r="M47" s="5"/>
      <c r="N47" s="5"/>
      <c r="O47" s="5"/>
      <c r="P47" s="5"/>
      <c r="Q47" s="5"/>
    </row>
    <row r="48" spans="1:17" x14ac:dyDescent="0.3">
      <c r="A48" s="14">
        <v>12</v>
      </c>
      <c r="B48" s="14">
        <v>0.5</v>
      </c>
      <c r="C48">
        <v>2.4228000000000001</v>
      </c>
      <c r="D48" s="7">
        <f t="shared" ref="D48" si="77">100*(C48-$C$36)/$C$36</f>
        <v>4.8241249513260902</v>
      </c>
      <c r="E48">
        <v>6.3520000000000003</v>
      </c>
      <c r="F48" s="7">
        <f t="shared" ref="F48" si="78">100*(E48-$E$36)/$E$36</f>
        <v>-0.99904926668848404</v>
      </c>
      <c r="G48">
        <v>5.1353999999999997</v>
      </c>
      <c r="H48" s="7">
        <f t="shared" ref="H48" si="79">100*(G48-$G$36)/$G$36</f>
        <v>1.307924483636149</v>
      </c>
      <c r="J48" s="4"/>
      <c r="K48" s="4"/>
      <c r="L48" s="5"/>
      <c r="M48" s="5"/>
      <c r="N48" s="5"/>
      <c r="O48" s="5"/>
      <c r="P48" s="5"/>
      <c r="Q48" s="5"/>
    </row>
    <row r="49" spans="1:17" x14ac:dyDescent="0.3">
      <c r="A49" s="15"/>
      <c r="B49" s="15"/>
      <c r="C49">
        <v>-2.7564000000000002</v>
      </c>
      <c r="D49" s="7">
        <f t="shared" ref="D49" si="80">100*(C49-$C$37)/$C$37</f>
        <v>11.288759689922493</v>
      </c>
      <c r="E49">
        <v>-7.1532</v>
      </c>
      <c r="F49" s="7">
        <f t="shared" ref="F49" si="81">100*(E49-$E$37)/$E$37</f>
        <v>3.1567714116781742</v>
      </c>
      <c r="G49">
        <v>-5.3318000000000003</v>
      </c>
      <c r="H49" s="7">
        <f t="shared" ref="H49" si="82">100*(G49-$G$37)/$G$37</f>
        <v>3.1116440078129672</v>
      </c>
      <c r="J49" s="4"/>
      <c r="K49" s="4"/>
      <c r="L49" s="5"/>
      <c r="M49" s="5"/>
      <c r="N49" s="5"/>
      <c r="O49" s="5"/>
      <c r="P49" s="5"/>
      <c r="Q49" s="5"/>
    </row>
    <row r="50" spans="1:17" x14ac:dyDescent="0.3">
      <c r="A50" s="14">
        <v>1</v>
      </c>
      <c r="B50" s="14">
        <v>0.5</v>
      </c>
      <c r="C50">
        <v>2.5150000000000001</v>
      </c>
      <c r="D50" s="7">
        <f t="shared" ref="D50" si="83">100*(C50-$C$36)/$C$36</f>
        <v>8.8132219962791485</v>
      </c>
      <c r="E50">
        <v>6.4606000000000003</v>
      </c>
      <c r="F50" s="7">
        <f t="shared" ref="F50" si="84">100*(E50-$E$36)/$E$36</f>
        <v>0.69356774364489648</v>
      </c>
      <c r="G50">
        <v>5.1512000000000002</v>
      </c>
      <c r="H50" s="7">
        <f t="shared" ref="H50" si="85">100*(G50-$G$36)/$G$36</f>
        <v>1.6196168945177745</v>
      </c>
    </row>
    <row r="51" spans="1:17" x14ac:dyDescent="0.3">
      <c r="A51" s="15"/>
      <c r="B51" s="15"/>
      <c r="C51">
        <v>-2.7086000000000001</v>
      </c>
      <c r="D51" s="7">
        <f t="shared" ref="D51" si="86">100*(C51-$C$37)/$C$37</f>
        <v>9.3588501291989754</v>
      </c>
      <c r="E51">
        <v>-7.0938999999999997</v>
      </c>
      <c r="F51" s="7">
        <f t="shared" ref="F51" si="87">100*(E51-$E$37)/$E$37</f>
        <v>2.3016021804652134</v>
      </c>
      <c r="G51">
        <v>-5.2068000000000003</v>
      </c>
      <c r="H51" s="7">
        <f t="shared" ref="H51" si="88">100*(G51-$G$37)/$G$37</f>
        <v>0.69426985631129423</v>
      </c>
    </row>
    <row r="52" spans="1:17" x14ac:dyDescent="0.3">
      <c r="A52" s="14">
        <v>1</v>
      </c>
      <c r="B52" s="14">
        <v>1</v>
      </c>
      <c r="C52">
        <v>2.4986999999999999</v>
      </c>
      <c r="D52" s="7">
        <f t="shared" ref="D52" si="89">100*(C52-$C$36)/$C$36</f>
        <v>8.1079911737982862</v>
      </c>
      <c r="E52">
        <v>6.4401999999999999</v>
      </c>
      <c r="F52" s="7">
        <f t="shared" ref="F52" si="90">100*(E52-$E$36)/$E$36</f>
        <v>0.3756175870076805</v>
      </c>
      <c r="G52">
        <v>5.1835000000000004</v>
      </c>
      <c r="H52" s="7">
        <f t="shared" ref="H52" si="91">100*(G52-$G$36)/$G$36</f>
        <v>2.2568108737251333</v>
      </c>
    </row>
    <row r="53" spans="1:17" x14ac:dyDescent="0.3">
      <c r="A53" s="15"/>
      <c r="B53" s="15"/>
      <c r="C53">
        <v>-2.7267999999999999</v>
      </c>
      <c r="D53" s="7">
        <f t="shared" ref="D53" si="92">100*(C53-$C$37)/$C$37</f>
        <v>10.093669250645995</v>
      </c>
      <c r="E53">
        <v>-7.1249000000000002</v>
      </c>
      <c r="F53" s="7">
        <f t="shared" ref="F53" si="93">100*(E53-$E$37)/$E$37</f>
        <v>2.748655235568116</v>
      </c>
      <c r="G53">
        <v>-5.2256</v>
      </c>
      <c r="H53" s="7">
        <f t="shared" ref="H53" si="94">100*(G53-$G$37)/$G$37</f>
        <v>1.05784292869714</v>
      </c>
    </row>
    <row r="54" spans="1:17" x14ac:dyDescent="0.3">
      <c r="A54" s="14">
        <v>1</v>
      </c>
      <c r="B54" s="14">
        <v>2</v>
      </c>
      <c r="C54">
        <v>2.4342000000000001</v>
      </c>
      <c r="D54" s="7">
        <f t="shared" ref="D54:D56" si="95">100*(C54-$C$36)/$C$36</f>
        <v>5.3173538701163849</v>
      </c>
      <c r="E54">
        <v>6.4238</v>
      </c>
      <c r="F54" s="7">
        <f t="shared" ref="F54:F56" si="96">100*(E54-$E$36)/$E$36</f>
        <v>0.12001059833855174</v>
      </c>
      <c r="G54">
        <v>5.2514000000000003</v>
      </c>
      <c r="H54" s="7">
        <f t="shared" ref="H54:H56" si="97">100*(G54-$G$36)/$G$36</f>
        <v>3.5962991458049869</v>
      </c>
    </row>
    <row r="55" spans="1:17" x14ac:dyDescent="0.3">
      <c r="A55" s="15"/>
      <c r="B55" s="15"/>
      <c r="C55">
        <v>-2.7206999999999999</v>
      </c>
      <c r="D55" s="7">
        <f t="shared" ref="D55:D57" si="98">100*(C55-$C$37)/$C$37</f>
        <v>9.8473837209302335</v>
      </c>
      <c r="E55">
        <v>-7.1971999999999996</v>
      </c>
      <c r="F55" s="7">
        <f t="shared" ref="F55:F57" si="99">100*(E55-$E$37)/$E$37</f>
        <v>3.7912983285984057</v>
      </c>
      <c r="G55">
        <v>-5.2685000000000004</v>
      </c>
      <c r="H55" s="7">
        <f t="shared" ref="H55:H57" si="100">100*(G55-$G$37)/$G$37</f>
        <v>1.8874857374925218</v>
      </c>
    </row>
    <row r="56" spans="1:17" x14ac:dyDescent="0.3">
      <c r="A56" s="15">
        <v>1</v>
      </c>
      <c r="B56" s="15">
        <v>4</v>
      </c>
      <c r="C56">
        <v>2.3692000000000002</v>
      </c>
      <c r="D56" s="7">
        <f t="shared" si="95"/>
        <v>2.5050837191191131</v>
      </c>
      <c r="E56">
        <v>6.3794000000000004</v>
      </c>
      <c r="F56" s="7">
        <f t="shared" si="96"/>
        <v>-0.57199856610713251</v>
      </c>
      <c r="G56">
        <v>5.3545999999999996</v>
      </c>
      <c r="H56" s="7">
        <f t="shared" si="97"/>
        <v>5.6321635004241362</v>
      </c>
    </row>
    <row r="57" spans="1:17" x14ac:dyDescent="0.3">
      <c r="A57" s="15"/>
      <c r="B57" s="15"/>
      <c r="C57">
        <v>-2.7008999999999999</v>
      </c>
      <c r="D57" s="7">
        <f t="shared" si="98"/>
        <v>9.0479651162790695</v>
      </c>
      <c r="E57">
        <v>-7.3341000000000003</v>
      </c>
      <c r="F57" s="7">
        <f t="shared" si="99"/>
        <v>5.7655423041979708</v>
      </c>
      <c r="G57">
        <v>-5.3426999999999998</v>
      </c>
      <c r="H57" s="7">
        <f t="shared" si="100"/>
        <v>3.3224390338239029</v>
      </c>
    </row>
    <row r="58" spans="1:17" x14ac:dyDescent="0.3">
      <c r="A58" s="14">
        <v>1</v>
      </c>
      <c r="B58" s="14">
        <v>6</v>
      </c>
      <c r="C58">
        <v>16.533100000000001</v>
      </c>
      <c r="D58" s="7">
        <f t="shared" ref="D58" si="101">100*(C58-$C$36)/$C$36</f>
        <v>615.31605589927756</v>
      </c>
      <c r="E58">
        <v>87.428299999999993</v>
      </c>
      <c r="F58" s="7">
        <f t="shared" ref="F58" si="102">100*(E58-$E$36)/$E$36</f>
        <v>1262.6392980159285</v>
      </c>
      <c r="G58">
        <v>30.717099999999999</v>
      </c>
      <c r="H58" s="7">
        <f t="shared" ref="H58" si="103">100*(G58-$G$36)/$G$36</f>
        <v>505.9675287526386</v>
      </c>
    </row>
    <row r="59" spans="1:17" x14ac:dyDescent="0.3">
      <c r="A59" s="15"/>
      <c r="B59" s="15"/>
      <c r="C59">
        <v>-13.7385</v>
      </c>
      <c r="D59" s="7">
        <f t="shared" ref="D59" si="104">100*(C59-$C$37)/$C$37</f>
        <v>454.68750000000006</v>
      </c>
      <c r="E59">
        <v>-77.011300000000006</v>
      </c>
      <c r="F59" s="7">
        <f t="shared" ref="F59" si="105">100*(E59-$E$37)/$E$37</f>
        <v>1010.5850626595329</v>
      </c>
      <c r="G59">
        <v>-27.243600000000001</v>
      </c>
      <c r="H59" s="7">
        <f t="shared" ref="H59" si="106">100*(G59-$G$37)/$G$37</f>
        <v>426.86379547080782</v>
      </c>
    </row>
    <row r="60" spans="1:17" x14ac:dyDescent="0.3">
      <c r="A60" s="14">
        <v>1</v>
      </c>
      <c r="B60" s="14">
        <v>8</v>
      </c>
      <c r="C60">
        <v>0</v>
      </c>
      <c r="D60" s="7">
        <f t="shared" ref="D60" si="107">100*(C60-$C$36)/$C$36</f>
        <v>-100</v>
      </c>
      <c r="E60">
        <v>0</v>
      </c>
      <c r="F60" s="7">
        <f t="shared" ref="F60" si="108">100*(E60-$E$36)/$E$36</f>
        <v>-100</v>
      </c>
      <c r="G60">
        <v>0</v>
      </c>
      <c r="H60" s="7">
        <f t="shared" ref="H60" si="109">100*(G60-$G$36)/$G$36</f>
        <v>-100</v>
      </c>
    </row>
    <row r="61" spans="1:17" x14ac:dyDescent="0.3">
      <c r="A61" s="15"/>
      <c r="B61" s="15"/>
      <c r="C61">
        <v>0</v>
      </c>
      <c r="D61" s="7">
        <f t="shared" ref="D61" si="110">100*(C61-$C$37)/$C$37</f>
        <v>-100</v>
      </c>
      <c r="E61">
        <v>0</v>
      </c>
      <c r="F61" s="7">
        <f t="shared" ref="F61" si="111">100*(E61-$E$37)/$E$37</f>
        <v>-100</v>
      </c>
      <c r="G61">
        <v>0</v>
      </c>
      <c r="H61" s="7">
        <f t="shared" ref="H61" si="112">100*(G61-$G$37)/$G$37</f>
        <v>-99.999999999999986</v>
      </c>
    </row>
    <row r="62" spans="1:17" x14ac:dyDescent="0.3">
      <c r="A62" s="8"/>
      <c r="B62" s="8"/>
      <c r="D62" s="7"/>
      <c r="F62" s="7"/>
      <c r="H62" s="7"/>
    </row>
    <row r="63" spans="1:17" x14ac:dyDescent="0.3">
      <c r="D63" s="7"/>
      <c r="F63" s="7"/>
      <c r="H63" s="7"/>
    </row>
    <row r="67" spans="1:8" x14ac:dyDescent="0.3">
      <c r="A67" t="s">
        <v>8</v>
      </c>
    </row>
    <row r="68" spans="1:8" x14ac:dyDescent="0.3">
      <c r="A68" t="s">
        <v>0</v>
      </c>
      <c r="B68" t="s">
        <v>1</v>
      </c>
      <c r="C68" s="15" t="s">
        <v>3</v>
      </c>
      <c r="D68" s="15"/>
      <c r="E68" s="15" t="s">
        <v>4</v>
      </c>
      <c r="F68" s="15"/>
    </row>
    <row r="69" spans="1:8" x14ac:dyDescent="0.3">
      <c r="A69" s="8" t="s">
        <v>2</v>
      </c>
      <c r="B69" s="8" t="s">
        <v>2</v>
      </c>
      <c r="C69">
        <v>13.333500000000001</v>
      </c>
      <c r="D69" s="6" t="s">
        <v>2</v>
      </c>
      <c r="E69">
        <v>15.3466</v>
      </c>
      <c r="F69" s="6" t="s">
        <v>2</v>
      </c>
      <c r="H69" s="6"/>
    </row>
    <row r="70" spans="1:8" x14ac:dyDescent="0.3">
      <c r="A70" s="8">
        <v>0</v>
      </c>
      <c r="B70" s="8">
        <v>0</v>
      </c>
      <c r="C70">
        <v>15.013500000000001</v>
      </c>
      <c r="D70" s="7">
        <f t="shared" ref="D70:D81" si="113">100*(C70-$C$69)/$C$69</f>
        <v>12.599842501968723</v>
      </c>
      <c r="E70">
        <v>17.243200000000002</v>
      </c>
      <c r="F70" s="7">
        <f t="shared" ref="F70:F81" si="114">100*(E70-$E$69)/$E$69</f>
        <v>12.358437699555608</v>
      </c>
      <c r="H70" s="7"/>
    </row>
    <row r="71" spans="1:8" x14ac:dyDescent="0.3">
      <c r="A71" s="8">
        <v>0.1</v>
      </c>
      <c r="B71" s="8">
        <v>0.5</v>
      </c>
      <c r="C71">
        <v>0</v>
      </c>
      <c r="D71" s="7">
        <f t="shared" si="113"/>
        <v>-100</v>
      </c>
      <c r="E71">
        <v>0</v>
      </c>
      <c r="F71" s="7">
        <f t="shared" si="114"/>
        <v>-100</v>
      </c>
      <c r="H71" s="7"/>
    </row>
    <row r="72" spans="1:8" x14ac:dyDescent="0.3">
      <c r="A72" s="8">
        <v>0.5</v>
      </c>
      <c r="B72" s="8">
        <v>0.5</v>
      </c>
      <c r="C72">
        <v>0</v>
      </c>
      <c r="D72" s="7">
        <f t="shared" si="113"/>
        <v>-100</v>
      </c>
      <c r="E72">
        <v>0</v>
      </c>
      <c r="F72" s="7">
        <f t="shared" si="114"/>
        <v>-100</v>
      </c>
      <c r="H72" s="7"/>
    </row>
    <row r="73" spans="1:8" x14ac:dyDescent="0.3">
      <c r="A73" s="8">
        <v>2</v>
      </c>
      <c r="B73" s="8">
        <v>0.5</v>
      </c>
      <c r="C73">
        <v>14.9909</v>
      </c>
      <c r="D73" s="7">
        <f t="shared" si="113"/>
        <v>12.430344620692233</v>
      </c>
      <c r="E73">
        <v>17.244700000000002</v>
      </c>
      <c r="F73" s="7">
        <f t="shared" si="114"/>
        <v>12.368211851485027</v>
      </c>
      <c r="H73" s="7"/>
    </row>
    <row r="74" spans="1:8" x14ac:dyDescent="0.3">
      <c r="A74" s="8">
        <v>6</v>
      </c>
      <c r="B74" s="8">
        <v>0.5</v>
      </c>
      <c r="C74">
        <v>0</v>
      </c>
      <c r="D74" s="7">
        <f t="shared" si="113"/>
        <v>-100</v>
      </c>
      <c r="E74">
        <v>0</v>
      </c>
      <c r="F74" s="7">
        <f t="shared" si="114"/>
        <v>-100</v>
      </c>
      <c r="H74" s="7"/>
    </row>
    <row r="75" spans="1:8" x14ac:dyDescent="0.3">
      <c r="A75" s="8">
        <v>12</v>
      </c>
      <c r="B75" s="8">
        <v>0.5</v>
      </c>
      <c r="C75">
        <v>17.432600000000001</v>
      </c>
      <c r="D75" s="7">
        <f t="shared" si="113"/>
        <v>30.742865714178567</v>
      </c>
      <c r="E75">
        <v>17.241</v>
      </c>
      <c r="F75" s="7">
        <f t="shared" si="114"/>
        <v>12.344102276725783</v>
      </c>
      <c r="H75" s="7"/>
    </row>
    <row r="76" spans="1:8" x14ac:dyDescent="0.3">
      <c r="A76" s="8">
        <v>1</v>
      </c>
      <c r="B76" s="8">
        <v>0.5</v>
      </c>
      <c r="C76">
        <v>14.7851</v>
      </c>
      <c r="D76" s="7">
        <f t="shared" si="113"/>
        <v>10.886863914201065</v>
      </c>
      <c r="E76">
        <v>17.243500000000001</v>
      </c>
      <c r="F76" s="7">
        <f t="shared" si="114"/>
        <v>12.360392529941489</v>
      </c>
      <c r="H76" s="7"/>
    </row>
    <row r="77" spans="1:8" x14ac:dyDescent="0.3">
      <c r="A77" s="8">
        <v>1</v>
      </c>
      <c r="B77" s="8">
        <v>1</v>
      </c>
      <c r="C77">
        <v>14.591799999999999</v>
      </c>
      <c r="D77" s="7">
        <f t="shared" si="113"/>
        <v>9.4371320358495403</v>
      </c>
      <c r="E77">
        <v>17.2456</v>
      </c>
      <c r="F77" s="7">
        <f t="shared" si="114"/>
        <v>12.374076342642665</v>
      </c>
      <c r="H77" s="7"/>
    </row>
    <row r="78" spans="1:8" x14ac:dyDescent="0.3">
      <c r="A78" s="8">
        <v>1</v>
      </c>
      <c r="B78" s="8">
        <v>2</v>
      </c>
      <c r="C78">
        <v>14.5703</v>
      </c>
      <c r="D78" s="7">
        <f t="shared" si="113"/>
        <v>9.2758840514493475</v>
      </c>
      <c r="E78">
        <v>17.2453</v>
      </c>
      <c r="F78" s="7">
        <f t="shared" si="114"/>
        <v>12.372121512256784</v>
      </c>
      <c r="H78" s="7"/>
    </row>
    <row r="79" spans="1:8" x14ac:dyDescent="0.3">
      <c r="A79" s="8">
        <v>1</v>
      </c>
      <c r="B79" s="8">
        <v>4</v>
      </c>
      <c r="C79">
        <v>14.5702</v>
      </c>
      <c r="D79" s="7">
        <f t="shared" si="113"/>
        <v>9.2751340608242323</v>
      </c>
      <c r="E79">
        <v>17.2453</v>
      </c>
      <c r="F79" s="7">
        <f t="shared" si="114"/>
        <v>12.372121512256784</v>
      </c>
      <c r="H79" s="7"/>
    </row>
    <row r="80" spans="1:8" x14ac:dyDescent="0.3">
      <c r="A80" s="8">
        <v>1</v>
      </c>
      <c r="B80" s="8">
        <v>6</v>
      </c>
      <c r="C80">
        <v>17.0854</v>
      </c>
      <c r="D80" s="7">
        <f t="shared" si="113"/>
        <v>28.138898263771697</v>
      </c>
      <c r="E80">
        <v>19.741199999999999</v>
      </c>
      <c r="F80" s="7">
        <f t="shared" si="114"/>
        <v>28.635658712679021</v>
      </c>
      <c r="H80" s="7"/>
    </row>
    <row r="81" spans="1:8" x14ac:dyDescent="0.3">
      <c r="A81" s="8">
        <v>1</v>
      </c>
      <c r="B81" s="8">
        <v>8</v>
      </c>
      <c r="C81">
        <v>0</v>
      </c>
      <c r="D81" s="7">
        <f t="shared" si="113"/>
        <v>-100</v>
      </c>
      <c r="E81">
        <v>0</v>
      </c>
      <c r="F81" s="7">
        <f t="shared" si="114"/>
        <v>-100</v>
      </c>
      <c r="H81" s="7"/>
    </row>
    <row r="82" spans="1:8" x14ac:dyDescent="0.3">
      <c r="A82" s="8"/>
      <c r="B82" s="8"/>
      <c r="D82" s="7"/>
      <c r="F82" s="7"/>
    </row>
    <row r="86" spans="1:8" x14ac:dyDescent="0.3">
      <c r="A86" t="s">
        <v>9</v>
      </c>
    </row>
    <row r="87" spans="1:8" x14ac:dyDescent="0.3">
      <c r="A87" t="s">
        <v>0</v>
      </c>
      <c r="B87" t="s">
        <v>1</v>
      </c>
      <c r="C87" s="15" t="s">
        <v>3</v>
      </c>
      <c r="D87" s="15"/>
      <c r="E87" s="15" t="s">
        <v>4</v>
      </c>
      <c r="F87" s="15"/>
    </row>
    <row r="88" spans="1:8" x14ac:dyDescent="0.3">
      <c r="A88" s="8" t="s">
        <v>2</v>
      </c>
      <c r="B88" s="8" t="s">
        <v>2</v>
      </c>
      <c r="C88">
        <v>1.7908999999999999</v>
      </c>
      <c r="D88" s="6" t="s">
        <v>2</v>
      </c>
      <c r="E88">
        <v>1.7370000000000001</v>
      </c>
      <c r="F88" s="6" t="s">
        <v>2</v>
      </c>
    </row>
    <row r="89" spans="1:8" x14ac:dyDescent="0.3">
      <c r="A89" s="8">
        <v>0</v>
      </c>
      <c r="B89" s="8">
        <v>0</v>
      </c>
      <c r="C89">
        <v>1.7799</v>
      </c>
      <c r="D89" s="7">
        <f t="shared" ref="D89:D100" si="115">100*(C89-$C$88)/$C$88</f>
        <v>-0.61421631581885638</v>
      </c>
      <c r="E89">
        <v>1.7222999999999999</v>
      </c>
      <c r="F89" s="7">
        <f t="shared" ref="F89:F100" si="116">100*(E89-$E$88)/$E$88</f>
        <v>-0.84628670120898997</v>
      </c>
    </row>
    <row r="90" spans="1:8" x14ac:dyDescent="0.3">
      <c r="A90" s="8">
        <v>0.1</v>
      </c>
      <c r="B90" s="8">
        <v>0.5</v>
      </c>
      <c r="C90">
        <v>0</v>
      </c>
      <c r="D90" s="7">
        <f t="shared" si="115"/>
        <v>-100</v>
      </c>
      <c r="E90">
        <v>0</v>
      </c>
      <c r="F90" s="7">
        <f t="shared" si="116"/>
        <v>-100</v>
      </c>
    </row>
    <row r="91" spans="1:8" x14ac:dyDescent="0.3">
      <c r="A91" s="8">
        <v>0.5</v>
      </c>
      <c r="B91" s="8">
        <v>0.5</v>
      </c>
      <c r="C91">
        <v>0</v>
      </c>
      <c r="D91" s="7">
        <f t="shared" si="115"/>
        <v>-100</v>
      </c>
      <c r="E91">
        <v>0</v>
      </c>
      <c r="F91" s="7">
        <f t="shared" si="116"/>
        <v>-100</v>
      </c>
    </row>
    <row r="92" spans="1:8" x14ac:dyDescent="0.3">
      <c r="A92" s="8">
        <v>2</v>
      </c>
      <c r="B92" s="8">
        <v>0.5</v>
      </c>
      <c r="C92">
        <v>1.7843</v>
      </c>
      <c r="D92" s="7">
        <f t="shared" si="115"/>
        <v>-0.36852978949131382</v>
      </c>
      <c r="E92">
        <v>1.7235</v>
      </c>
      <c r="F92" s="7">
        <f t="shared" si="116"/>
        <v>-0.77720207253886398</v>
      </c>
    </row>
    <row r="93" spans="1:8" x14ac:dyDescent="0.3">
      <c r="A93" s="8">
        <v>6</v>
      </c>
      <c r="B93" s="8">
        <v>0.5</v>
      </c>
      <c r="C93">
        <v>0</v>
      </c>
      <c r="D93" s="7">
        <f t="shared" si="115"/>
        <v>-100</v>
      </c>
      <c r="E93">
        <v>0</v>
      </c>
      <c r="F93" s="7">
        <f t="shared" si="116"/>
        <v>-100</v>
      </c>
    </row>
    <row r="94" spans="1:8" x14ac:dyDescent="0.3">
      <c r="A94" s="8">
        <v>12</v>
      </c>
      <c r="B94" s="8">
        <v>0.5</v>
      </c>
      <c r="C94">
        <v>1.7865</v>
      </c>
      <c r="D94" s="7">
        <f t="shared" si="115"/>
        <v>-0.24568652632754256</v>
      </c>
      <c r="E94">
        <v>1.7222999999999999</v>
      </c>
      <c r="F94" s="7">
        <f t="shared" si="116"/>
        <v>-0.84628670120898997</v>
      </c>
    </row>
    <row r="95" spans="1:8" x14ac:dyDescent="0.3">
      <c r="A95" s="8">
        <v>1</v>
      </c>
      <c r="B95" s="8">
        <v>0.5</v>
      </c>
      <c r="C95">
        <v>1.7829999999999999</v>
      </c>
      <c r="D95" s="7">
        <f t="shared" si="115"/>
        <v>-0.4411189904517292</v>
      </c>
      <c r="E95">
        <v>1.7222</v>
      </c>
      <c r="F95" s="7">
        <f t="shared" si="116"/>
        <v>-0.85204375359816609</v>
      </c>
    </row>
    <row r="96" spans="1:8" x14ac:dyDescent="0.3">
      <c r="A96" s="8">
        <v>1</v>
      </c>
      <c r="B96" s="8">
        <v>1</v>
      </c>
      <c r="C96">
        <v>1.7849999999999999</v>
      </c>
      <c r="D96" s="7">
        <f t="shared" si="115"/>
        <v>-0.32944329666648148</v>
      </c>
      <c r="E96">
        <v>1.7214</v>
      </c>
      <c r="F96" s="7">
        <f t="shared" si="116"/>
        <v>-0.89810017271157494</v>
      </c>
    </row>
    <row r="97" spans="1:6" x14ac:dyDescent="0.3">
      <c r="A97" s="8">
        <v>1</v>
      </c>
      <c r="B97" s="8">
        <v>2</v>
      </c>
      <c r="C97">
        <v>1.7885</v>
      </c>
      <c r="D97" s="7">
        <f t="shared" si="115"/>
        <v>-0.13401083254229482</v>
      </c>
      <c r="E97">
        <v>1.7206999999999999</v>
      </c>
      <c r="F97" s="7">
        <f t="shared" si="116"/>
        <v>-0.93839953943582055</v>
      </c>
    </row>
    <row r="98" spans="1:6" x14ac:dyDescent="0.3">
      <c r="A98" s="8">
        <v>1</v>
      </c>
      <c r="B98" s="8">
        <v>4</v>
      </c>
      <c r="C98">
        <v>1.7934000000000001</v>
      </c>
      <c r="D98" s="7">
        <f t="shared" si="115"/>
        <v>0.13959461723156899</v>
      </c>
      <c r="E98">
        <v>1.72</v>
      </c>
      <c r="F98" s="7">
        <f t="shared" si="116"/>
        <v>-0.97869890616005328</v>
      </c>
    </row>
    <row r="99" spans="1:6" x14ac:dyDescent="0.3">
      <c r="A99" s="8">
        <v>1</v>
      </c>
      <c r="B99" s="8">
        <v>6</v>
      </c>
      <c r="C99">
        <v>4.1352000000000002</v>
      </c>
      <c r="D99" s="7">
        <f t="shared" si="115"/>
        <v>130.90066447037808</v>
      </c>
      <c r="E99">
        <v>0.60350000000000004</v>
      </c>
      <c r="F99" s="7">
        <f t="shared" si="116"/>
        <v>-65.256188831318369</v>
      </c>
    </row>
    <row r="100" spans="1:6" x14ac:dyDescent="0.3">
      <c r="A100" s="8">
        <v>1</v>
      </c>
      <c r="B100" s="8">
        <v>8</v>
      </c>
      <c r="C100">
        <v>0</v>
      </c>
      <c r="D100" s="7">
        <f t="shared" si="115"/>
        <v>-100</v>
      </c>
      <c r="E100">
        <v>0</v>
      </c>
      <c r="F100" s="7">
        <f t="shared" si="116"/>
        <v>-100</v>
      </c>
    </row>
    <row r="101" spans="1:6" x14ac:dyDescent="0.3">
      <c r="A101" s="8"/>
      <c r="B101" s="8"/>
      <c r="D101" s="7"/>
      <c r="F101" s="7"/>
    </row>
    <row r="105" spans="1:6" x14ac:dyDescent="0.3">
      <c r="A105" s="9" t="s">
        <v>10</v>
      </c>
    </row>
    <row r="106" spans="1:6" x14ac:dyDescent="0.3">
      <c r="A106" t="s">
        <v>0</v>
      </c>
      <c r="B106" t="s">
        <v>1</v>
      </c>
      <c r="C106" s="15" t="s">
        <v>3</v>
      </c>
      <c r="D106" s="15"/>
      <c r="E106" s="15" t="s">
        <v>4</v>
      </c>
      <c r="F106" s="15"/>
    </row>
    <row r="107" spans="1:6" x14ac:dyDescent="0.3">
      <c r="A107" s="8" t="s">
        <v>2</v>
      </c>
      <c r="B107" s="8" t="s">
        <v>2</v>
      </c>
      <c r="C107">
        <v>2.3441000000000001</v>
      </c>
      <c r="D107" s="6" t="s">
        <v>2</v>
      </c>
      <c r="E107">
        <v>2.3441000000000001</v>
      </c>
      <c r="F107" s="6" t="s">
        <v>2</v>
      </c>
    </row>
    <row r="108" spans="1:6" x14ac:dyDescent="0.3">
      <c r="A108" s="8">
        <v>0</v>
      </c>
      <c r="B108" s="8">
        <v>0</v>
      </c>
      <c r="C108">
        <v>2.3441000000000001</v>
      </c>
      <c r="D108" s="7">
        <f t="shared" ref="D108:D119" si="117">100*(C108-$C$107)/$C$107</f>
        <v>0</v>
      </c>
      <c r="E108">
        <v>2.3441000000000001</v>
      </c>
      <c r="F108" s="7">
        <f t="shared" ref="F108:F119" si="118">100*(E108-$E$107)/$E$107</f>
        <v>0</v>
      </c>
    </row>
    <row r="109" spans="1:6" x14ac:dyDescent="0.3">
      <c r="A109" s="8">
        <v>0.1</v>
      </c>
      <c r="B109" s="8">
        <v>0.5</v>
      </c>
      <c r="C109">
        <v>0</v>
      </c>
      <c r="D109" s="7">
        <f t="shared" si="117"/>
        <v>-100</v>
      </c>
      <c r="E109">
        <v>0</v>
      </c>
      <c r="F109" s="7">
        <f t="shared" si="118"/>
        <v>-100</v>
      </c>
    </row>
    <row r="110" spans="1:6" x14ac:dyDescent="0.3">
      <c r="A110" s="8">
        <v>0.5</v>
      </c>
      <c r="B110" s="8">
        <v>0.5</v>
      </c>
      <c r="C110">
        <v>0</v>
      </c>
      <c r="D110" s="7">
        <f t="shared" si="117"/>
        <v>-100</v>
      </c>
      <c r="E110">
        <v>0</v>
      </c>
      <c r="F110" s="7">
        <f t="shared" si="118"/>
        <v>-100</v>
      </c>
    </row>
    <row r="111" spans="1:6" x14ac:dyDescent="0.3">
      <c r="A111" s="8">
        <v>2</v>
      </c>
      <c r="B111" s="8">
        <v>0.5</v>
      </c>
      <c r="C111">
        <v>2.3441000000000001</v>
      </c>
      <c r="D111" s="7">
        <f t="shared" si="117"/>
        <v>0</v>
      </c>
      <c r="E111">
        <v>2.3441000000000001</v>
      </c>
      <c r="F111" s="7">
        <f t="shared" si="118"/>
        <v>0</v>
      </c>
    </row>
    <row r="112" spans="1:6" x14ac:dyDescent="0.3">
      <c r="A112" s="8">
        <v>6</v>
      </c>
      <c r="B112" s="8">
        <v>0.5</v>
      </c>
      <c r="C112">
        <v>0</v>
      </c>
      <c r="D112" s="7">
        <f t="shared" si="117"/>
        <v>-100</v>
      </c>
      <c r="E112">
        <v>0</v>
      </c>
      <c r="F112" s="7">
        <f t="shared" si="118"/>
        <v>-100</v>
      </c>
    </row>
    <row r="113" spans="1:6" x14ac:dyDescent="0.3">
      <c r="A113" s="8">
        <v>12</v>
      </c>
      <c r="B113" s="8">
        <v>0.5</v>
      </c>
      <c r="C113">
        <v>2.3441000000000001</v>
      </c>
      <c r="D113" s="7">
        <f t="shared" si="117"/>
        <v>0</v>
      </c>
      <c r="E113">
        <v>2.3441000000000001</v>
      </c>
      <c r="F113" s="7">
        <f t="shared" si="118"/>
        <v>0</v>
      </c>
    </row>
    <row r="114" spans="1:6" x14ac:dyDescent="0.3">
      <c r="A114" s="8">
        <v>1</v>
      </c>
      <c r="B114" s="8">
        <v>0.5</v>
      </c>
      <c r="C114">
        <v>2.3441000000000001</v>
      </c>
      <c r="D114" s="7">
        <f t="shared" si="117"/>
        <v>0</v>
      </c>
      <c r="E114">
        <v>2.3441000000000001</v>
      </c>
      <c r="F114" s="7">
        <f t="shared" si="118"/>
        <v>0</v>
      </c>
    </row>
    <row r="115" spans="1:6" x14ac:dyDescent="0.3">
      <c r="A115" s="8">
        <v>1</v>
      </c>
      <c r="B115" s="8">
        <v>1</v>
      </c>
      <c r="C115">
        <v>2.3441000000000001</v>
      </c>
      <c r="D115" s="7">
        <f t="shared" si="117"/>
        <v>0</v>
      </c>
      <c r="E115">
        <v>2.3441000000000001</v>
      </c>
      <c r="F115" s="7">
        <f t="shared" si="118"/>
        <v>0</v>
      </c>
    </row>
    <row r="116" spans="1:6" x14ac:dyDescent="0.3">
      <c r="A116" s="8">
        <v>1</v>
      </c>
      <c r="B116" s="8">
        <v>2</v>
      </c>
      <c r="C116">
        <v>2.3441000000000001</v>
      </c>
      <c r="D116" s="7">
        <f t="shared" si="117"/>
        <v>0</v>
      </c>
      <c r="E116">
        <v>2.3441000000000001</v>
      </c>
      <c r="F116" s="7">
        <f t="shared" si="118"/>
        <v>0</v>
      </c>
    </row>
    <row r="117" spans="1:6" x14ac:dyDescent="0.3">
      <c r="A117" s="8">
        <v>1</v>
      </c>
      <c r="B117" s="8">
        <v>4</v>
      </c>
      <c r="C117">
        <v>2.3441000000000001</v>
      </c>
      <c r="D117" s="7">
        <f t="shared" si="117"/>
        <v>0</v>
      </c>
      <c r="E117">
        <v>2.3441000000000001</v>
      </c>
      <c r="F117" s="7">
        <f t="shared" si="118"/>
        <v>0</v>
      </c>
    </row>
    <row r="118" spans="1:6" x14ac:dyDescent="0.3">
      <c r="A118" s="8">
        <v>1</v>
      </c>
      <c r="B118" s="8">
        <v>6</v>
      </c>
      <c r="C118">
        <v>1.5628</v>
      </c>
      <c r="D118" s="7">
        <f t="shared" si="117"/>
        <v>-33.330489313595841</v>
      </c>
      <c r="E118">
        <v>2.3441000000000001</v>
      </c>
      <c r="F118" s="7">
        <f t="shared" si="118"/>
        <v>0</v>
      </c>
    </row>
    <row r="119" spans="1:6" x14ac:dyDescent="0.3">
      <c r="A119" s="8">
        <v>1</v>
      </c>
      <c r="B119" s="8">
        <v>8</v>
      </c>
      <c r="C119">
        <v>0</v>
      </c>
      <c r="D119" s="7">
        <f t="shared" si="117"/>
        <v>-100</v>
      </c>
      <c r="E119">
        <v>0</v>
      </c>
      <c r="F119" s="7">
        <f t="shared" si="118"/>
        <v>-100</v>
      </c>
    </row>
    <row r="120" spans="1:6" x14ac:dyDescent="0.3">
      <c r="A120" s="8"/>
      <c r="B120" s="8"/>
      <c r="D120" s="7"/>
      <c r="F120" s="7"/>
    </row>
  </sheetData>
  <mergeCells count="64">
    <mergeCell ref="A23:A24"/>
    <mergeCell ref="B23:B24"/>
    <mergeCell ref="A56:A57"/>
    <mergeCell ref="B56:B57"/>
    <mergeCell ref="C87:D87"/>
    <mergeCell ref="A52:A53"/>
    <mergeCell ref="B52:B53"/>
    <mergeCell ref="A54:A55"/>
    <mergeCell ref="B54:B55"/>
    <mergeCell ref="A58:A59"/>
    <mergeCell ref="B58:B59"/>
    <mergeCell ref="A46:A47"/>
    <mergeCell ref="B46:B47"/>
    <mergeCell ref="A48:A49"/>
    <mergeCell ref="B48:B49"/>
    <mergeCell ref="A50:A51"/>
    <mergeCell ref="E87:F87"/>
    <mergeCell ref="C106:D106"/>
    <mergeCell ref="E106:F106"/>
    <mergeCell ref="A60:A61"/>
    <mergeCell ref="B60:B61"/>
    <mergeCell ref="C68:D68"/>
    <mergeCell ref="E68:F68"/>
    <mergeCell ref="B50:B51"/>
    <mergeCell ref="A40:A41"/>
    <mergeCell ref="B40:B41"/>
    <mergeCell ref="A42:A43"/>
    <mergeCell ref="B42:B43"/>
    <mergeCell ref="A44:A45"/>
    <mergeCell ref="B44:B45"/>
    <mergeCell ref="C35:D35"/>
    <mergeCell ref="E35:F35"/>
    <mergeCell ref="G35:H35"/>
    <mergeCell ref="A36:A37"/>
    <mergeCell ref="B36:B37"/>
    <mergeCell ref="A38:A39"/>
    <mergeCell ref="B38:B39"/>
    <mergeCell ref="A25:A26"/>
    <mergeCell ref="B25:B26"/>
    <mergeCell ref="A27:A28"/>
    <mergeCell ref="B27:B28"/>
    <mergeCell ref="A17:A18"/>
    <mergeCell ref="B17:B18"/>
    <mergeCell ref="A19:A20"/>
    <mergeCell ref="B19:B20"/>
    <mergeCell ref="A21:A22"/>
    <mergeCell ref="B21:B22"/>
    <mergeCell ref="A11:A12"/>
    <mergeCell ref="B11:B12"/>
    <mergeCell ref="A13:A14"/>
    <mergeCell ref="B13:B14"/>
    <mergeCell ref="A15:A16"/>
    <mergeCell ref="B15:B16"/>
    <mergeCell ref="A5:A6"/>
    <mergeCell ref="B5:B6"/>
    <mergeCell ref="A7:A8"/>
    <mergeCell ref="B7:B8"/>
    <mergeCell ref="A9:A10"/>
    <mergeCell ref="B9:B10"/>
    <mergeCell ref="A3:A4"/>
    <mergeCell ref="B3:B4"/>
    <mergeCell ref="C2:D2"/>
    <mergeCell ref="E2:F2"/>
    <mergeCell ref="G2:H2"/>
  </mergeCells>
  <pageMargins left="0.7" right="0.7" top="0.75" bottom="0.75" header="0.3" footer="0.3"/>
  <ignoredErrors>
    <ignoredError sqref="C6:H10 C83:F83 C102:F104 G85:H98 C85:F85 C84:F84 H83 C121:F1048576 G103:H115 H99 C13:H14 D11 D12 F11 F12 H11 H12 C46:H47 D44 D45 F44 F45 H44 H45 C27:H28 D25 D26 F25 F26 H25 H26 C60:H61 D58 D59 F58 F59 H58 H59 C64:H66 C31:H43 G118:H1048576 G84:H84 G100:H102 G82:H82 D22 D19 D20 F19 F20 H19 H20 D55 D52 D53 F52 F53 H52 H53 D21 F21 F22 H21 H22 D54 F54 F55 H54 H55 G117:H117 H116 C17:H18 D15 D16 F15 F16 H15 H16 C50:H51 D48 D49 F48 F49 H48 H4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6601-7D5E-4FC1-874E-670C441D4E71}">
  <dimension ref="A1:I41"/>
  <sheetViews>
    <sheetView topLeftCell="E10" zoomScale="121" zoomScaleNormal="130" workbookViewId="0">
      <selection activeCell="M24" sqref="M24"/>
    </sheetView>
  </sheetViews>
  <sheetFormatPr defaultRowHeight="14.4" x14ac:dyDescent="0.3"/>
  <cols>
    <col min="1" max="2" width="8.88671875" style="1"/>
    <col min="3" max="4" width="8.88671875" style="7"/>
    <col min="5" max="6" width="9.5546875" style="7" bestFit="1" customWidth="1"/>
    <col min="7" max="9" width="8.88671875" style="7"/>
  </cols>
  <sheetData>
    <row r="1" spans="1:9" x14ac:dyDescent="0.3">
      <c r="A1" s="1" t="s">
        <v>19</v>
      </c>
      <c r="B1" t="s">
        <v>6</v>
      </c>
    </row>
    <row r="2" spans="1:9" x14ac:dyDescent="0.3">
      <c r="A2" s="1" t="s">
        <v>20</v>
      </c>
      <c r="B2" t="s">
        <v>7</v>
      </c>
    </row>
    <row r="3" spans="1:9" x14ac:dyDescent="0.3">
      <c r="A3" s="1" t="s">
        <v>11</v>
      </c>
      <c r="B3" t="s">
        <v>8</v>
      </c>
    </row>
    <row r="4" spans="1:9" x14ac:dyDescent="0.3">
      <c r="A4" s="1" t="s">
        <v>17</v>
      </c>
      <c r="B4" t="s">
        <v>9</v>
      </c>
    </row>
    <row r="5" spans="1:9" x14ac:dyDescent="0.3">
      <c r="A5" s="1" t="s">
        <v>12</v>
      </c>
      <c r="B5" s="9" t="s">
        <v>10</v>
      </c>
    </row>
    <row r="7" spans="1:9" s="1" customFormat="1" x14ac:dyDescent="0.3">
      <c r="A7" s="1" t="s">
        <v>0</v>
      </c>
      <c r="B7" s="1" t="s">
        <v>1</v>
      </c>
      <c r="C7" s="10" t="s">
        <v>13</v>
      </c>
      <c r="D7" s="10" t="s">
        <v>14</v>
      </c>
      <c r="E7" s="10" t="s">
        <v>15</v>
      </c>
      <c r="F7" s="10" t="s">
        <v>16</v>
      </c>
      <c r="G7" s="10" t="s">
        <v>11</v>
      </c>
      <c r="H7" s="10" t="s">
        <v>17</v>
      </c>
      <c r="I7" s="10" t="s">
        <v>12</v>
      </c>
    </row>
    <row r="8" spans="1:9" x14ac:dyDescent="0.3">
      <c r="A8" s="2" t="s">
        <v>2</v>
      </c>
      <c r="B8" s="2" t="s">
        <v>2</v>
      </c>
      <c r="C8">
        <v>0.44579999999999997</v>
      </c>
      <c r="D8">
        <f>49.9866-50</f>
        <v>-1.3399999999997192E-2</v>
      </c>
      <c r="E8">
        <v>2.3113000000000001</v>
      </c>
      <c r="F8">
        <v>-2.4767999999999999</v>
      </c>
      <c r="G8">
        <v>13.333500000000001</v>
      </c>
      <c r="H8">
        <v>1.7908999999999999</v>
      </c>
      <c r="I8">
        <v>2.3441000000000001</v>
      </c>
    </row>
    <row r="9" spans="1:9" x14ac:dyDescent="0.3">
      <c r="A9" s="1">
        <v>0</v>
      </c>
      <c r="B9" s="1">
        <v>0</v>
      </c>
      <c r="C9" s="7">
        <v>0.44579999999999997</v>
      </c>
      <c r="D9" s="7">
        <v>-1.3399999999997192E-2</v>
      </c>
      <c r="E9" s="7">
        <v>2.3113000000000001</v>
      </c>
      <c r="F9" s="7">
        <v>-2.4767999999999999</v>
      </c>
      <c r="G9" s="7">
        <v>15.013500000000001</v>
      </c>
      <c r="H9" s="7">
        <v>1.7799</v>
      </c>
      <c r="I9" s="7">
        <v>2.3441000000000001</v>
      </c>
    </row>
    <row r="10" spans="1:9" x14ac:dyDescent="0.3">
      <c r="A10" s="1">
        <v>1</v>
      </c>
      <c r="B10" s="1">
        <v>0.1</v>
      </c>
      <c r="C10" s="7">
        <v>0.46139999999999998</v>
      </c>
      <c r="D10" s="7">
        <v>-2.0199999999999999E-2</v>
      </c>
      <c r="E10" s="7">
        <v>2.5072000000000001</v>
      </c>
      <c r="F10" s="7">
        <v>-2.6726000000000001</v>
      </c>
      <c r="G10" s="7">
        <v>15.011900000000001</v>
      </c>
      <c r="H10" s="7">
        <v>1.7825</v>
      </c>
      <c r="I10" s="7">
        <v>2.3441000000000001</v>
      </c>
    </row>
    <row r="11" spans="1:9" x14ac:dyDescent="0.3">
      <c r="A11" s="1">
        <v>1</v>
      </c>
      <c r="B11" s="1">
        <v>0.5</v>
      </c>
      <c r="C11" s="7">
        <v>0.46329999999999671</v>
      </c>
      <c r="D11" s="7">
        <v>-1.5999999999998238E-2</v>
      </c>
      <c r="E11" s="7">
        <v>2.5150000000000001</v>
      </c>
      <c r="F11" s="7">
        <v>-2.7086000000000001</v>
      </c>
      <c r="G11" s="7">
        <v>14.7851</v>
      </c>
      <c r="H11" s="7">
        <v>1.7829999999999999</v>
      </c>
      <c r="I11" s="7">
        <v>2.3441000000000001</v>
      </c>
    </row>
    <row r="12" spans="1:9" x14ac:dyDescent="0.3">
      <c r="A12" s="1">
        <v>1</v>
      </c>
      <c r="B12" s="1">
        <v>1</v>
      </c>
      <c r="C12" s="7">
        <v>0.46439999999999998</v>
      </c>
      <c r="D12" s="7">
        <v>-1.3299999999999999E-2</v>
      </c>
      <c r="E12" s="7">
        <v>2.4986999999999999</v>
      </c>
      <c r="F12" s="7">
        <v>-2.7267999999999999</v>
      </c>
      <c r="G12" s="7">
        <v>14.591799999999999</v>
      </c>
      <c r="H12" s="7">
        <v>1.7849999999999999</v>
      </c>
      <c r="I12" s="7">
        <v>2.3441000000000001</v>
      </c>
    </row>
    <row r="13" spans="1:9" x14ac:dyDescent="0.3">
      <c r="A13" s="1">
        <v>1</v>
      </c>
      <c r="B13" s="1">
        <v>2</v>
      </c>
      <c r="C13" s="7">
        <v>0.4647</v>
      </c>
      <c r="D13" s="7">
        <v>-1.2999999999999999E-2</v>
      </c>
      <c r="E13" s="7">
        <v>2.4342000000000001</v>
      </c>
      <c r="F13" s="7">
        <v>-2.7206999999999999</v>
      </c>
      <c r="G13" s="7">
        <v>14.5703</v>
      </c>
      <c r="H13" s="7">
        <v>1.7885</v>
      </c>
      <c r="I13" s="7">
        <v>2.3441000000000001</v>
      </c>
    </row>
    <row r="14" spans="1:9" x14ac:dyDescent="0.3">
      <c r="A14" s="1">
        <v>1</v>
      </c>
      <c r="B14" s="1">
        <v>3</v>
      </c>
      <c r="C14" s="7">
        <v>0.46429999999999999</v>
      </c>
      <c r="D14" s="7">
        <v>-1.26E-2</v>
      </c>
      <c r="E14" s="7">
        <v>2.4131999999999998</v>
      </c>
      <c r="F14" s="7">
        <v>-2.7341000000000002</v>
      </c>
      <c r="G14" s="7">
        <v>14.568099999999999</v>
      </c>
      <c r="H14" s="7">
        <v>1.7921</v>
      </c>
      <c r="I14" s="7">
        <v>2.3441000000000001</v>
      </c>
    </row>
    <row r="15" spans="1:9" x14ac:dyDescent="0.3">
      <c r="A15" s="1">
        <v>1</v>
      </c>
      <c r="B15" s="1">
        <v>4</v>
      </c>
      <c r="C15" s="7">
        <v>0.4637</v>
      </c>
      <c r="D15" s="7">
        <v>-1.1900000000000001E-2</v>
      </c>
      <c r="E15" s="7">
        <v>2.3692000000000002</v>
      </c>
      <c r="F15" s="7">
        <v>-2.7008999999999999</v>
      </c>
      <c r="G15" s="7">
        <v>14.5702</v>
      </c>
      <c r="H15" s="7">
        <v>1.7934000000000001</v>
      </c>
      <c r="I15" s="7">
        <v>2.3441000000000001</v>
      </c>
    </row>
    <row r="16" spans="1:9" x14ac:dyDescent="0.3">
      <c r="A16" s="1">
        <v>1</v>
      </c>
      <c r="B16" s="1">
        <v>5</v>
      </c>
      <c r="C16" s="7">
        <v>2.5495000000000001</v>
      </c>
      <c r="D16" s="7">
        <v>-4.9000000000000002E-2</v>
      </c>
      <c r="E16" s="7">
        <v>16.066400000000002</v>
      </c>
      <c r="F16" s="7">
        <v>-12.904999999999999</v>
      </c>
      <c r="G16" s="7">
        <v>17.481000000000002</v>
      </c>
      <c r="H16" s="7">
        <v>0.7016</v>
      </c>
      <c r="I16" s="7">
        <v>1.5628</v>
      </c>
    </row>
    <row r="17" spans="1:9" x14ac:dyDescent="0.3">
      <c r="A17" s="1">
        <v>1</v>
      </c>
      <c r="B17" s="1">
        <v>6</v>
      </c>
      <c r="C17" s="7">
        <v>2.5322</v>
      </c>
      <c r="D17" s="7">
        <v>-4.99E-2</v>
      </c>
      <c r="E17" s="7">
        <v>16.533100000000001</v>
      </c>
      <c r="F17" s="7">
        <v>-13.7385</v>
      </c>
      <c r="G17" s="7">
        <v>17.0854</v>
      </c>
      <c r="H17" s="7">
        <v>0.75149999999999995</v>
      </c>
      <c r="I17" s="7">
        <v>1.5628</v>
      </c>
    </row>
    <row r="19" spans="1:9" s="1" customFormat="1" x14ac:dyDescent="0.3">
      <c r="A19" s="1" t="s">
        <v>0</v>
      </c>
      <c r="B19" s="1" t="s">
        <v>1</v>
      </c>
      <c r="C19" s="10" t="s">
        <v>13</v>
      </c>
      <c r="D19" s="10" t="s">
        <v>14</v>
      </c>
      <c r="E19" s="10" t="s">
        <v>15</v>
      </c>
      <c r="F19" s="10" t="s">
        <v>16</v>
      </c>
      <c r="G19" s="10" t="s">
        <v>11</v>
      </c>
      <c r="H19" s="10" t="s">
        <v>17</v>
      </c>
      <c r="I19" s="10" t="s">
        <v>12</v>
      </c>
    </row>
    <row r="20" spans="1:9" x14ac:dyDescent="0.3">
      <c r="A20" s="2" t="s">
        <v>2</v>
      </c>
      <c r="B20" s="2" t="s">
        <v>2</v>
      </c>
      <c r="C20">
        <f>50.5508-50</f>
        <v>0.5508000000000024</v>
      </c>
      <c r="D20">
        <f>49.8377-50</f>
        <v>-0.16230000000000189</v>
      </c>
      <c r="E20">
        <v>6.4161000000000001</v>
      </c>
      <c r="F20">
        <v>-6.9343000000000004</v>
      </c>
      <c r="G20">
        <v>15.3466</v>
      </c>
      <c r="H20">
        <v>1.7370000000000001</v>
      </c>
      <c r="I20">
        <v>2.3441000000000001</v>
      </c>
    </row>
    <row r="21" spans="1:9" x14ac:dyDescent="0.3">
      <c r="A21" s="1">
        <v>0</v>
      </c>
      <c r="B21" s="1">
        <v>0</v>
      </c>
      <c r="C21" s="7">
        <v>0.5508000000000024</v>
      </c>
      <c r="D21" s="7">
        <v>-0.16230000000000189</v>
      </c>
      <c r="E21" s="7">
        <v>6.4161000000000001</v>
      </c>
      <c r="F21" s="7">
        <v>-6.9343000000000004</v>
      </c>
      <c r="G21" s="7">
        <v>17.243200000000002</v>
      </c>
      <c r="H21" s="7">
        <v>1.7222999999999999</v>
      </c>
      <c r="I21" s="7">
        <v>2.3441000000000001</v>
      </c>
    </row>
    <row r="22" spans="1:9" x14ac:dyDescent="0.3">
      <c r="A22" s="1">
        <v>1</v>
      </c>
      <c r="B22" s="1">
        <v>0.1</v>
      </c>
      <c r="C22" s="7">
        <v>0.54010000000000002</v>
      </c>
      <c r="D22" s="7">
        <v>-0.1673</v>
      </c>
      <c r="E22" s="7">
        <v>6.4897999999999998</v>
      </c>
      <c r="F22" s="7">
        <v>-7.0731999999999999</v>
      </c>
      <c r="G22" s="7">
        <v>17.243500000000001</v>
      </c>
      <c r="H22" s="7">
        <v>1.7235</v>
      </c>
      <c r="I22" s="7">
        <v>2.3441000000000001</v>
      </c>
    </row>
    <row r="23" spans="1:9" x14ac:dyDescent="0.3">
      <c r="A23" s="1">
        <v>1</v>
      </c>
      <c r="B23" s="1">
        <v>0.5</v>
      </c>
      <c r="C23" s="7">
        <v>0.5343</v>
      </c>
      <c r="D23" s="7">
        <v>-0.1719</v>
      </c>
      <c r="E23" s="7">
        <v>6.4606000000000003</v>
      </c>
      <c r="F23" s="7">
        <v>-7.0938999999999997</v>
      </c>
      <c r="G23" s="7">
        <v>17.243500000000001</v>
      </c>
      <c r="H23" s="7">
        <v>1.7222</v>
      </c>
      <c r="I23" s="7">
        <v>2.3441000000000001</v>
      </c>
    </row>
    <row r="24" spans="1:9" x14ac:dyDescent="0.3">
      <c r="A24" s="1">
        <v>1</v>
      </c>
      <c r="B24" s="1">
        <v>1</v>
      </c>
      <c r="C24" s="7">
        <v>0.53369999999999995</v>
      </c>
      <c r="D24" s="7">
        <v>-0.1762</v>
      </c>
      <c r="E24" s="7">
        <v>6.4401999999999999</v>
      </c>
      <c r="F24" s="7">
        <v>-7.1249000000000002</v>
      </c>
      <c r="G24" s="7">
        <v>17.2456</v>
      </c>
      <c r="H24" s="7">
        <v>1.7214</v>
      </c>
      <c r="I24" s="7">
        <v>2.3441000000000001</v>
      </c>
    </row>
    <row r="25" spans="1:9" x14ac:dyDescent="0.3">
      <c r="A25" s="1">
        <v>1</v>
      </c>
      <c r="B25" s="1">
        <v>2</v>
      </c>
      <c r="C25" s="7">
        <v>0.53120000000000001</v>
      </c>
      <c r="D25" s="7">
        <v>-0.1827</v>
      </c>
      <c r="E25" s="7">
        <v>6.4238</v>
      </c>
      <c r="F25" s="7">
        <v>-7.1971999999999996</v>
      </c>
      <c r="G25" s="7">
        <v>17.2453</v>
      </c>
      <c r="H25" s="7">
        <v>1.7206999999999999</v>
      </c>
      <c r="I25" s="7">
        <v>2.3441000000000001</v>
      </c>
    </row>
    <row r="26" spans="1:9" x14ac:dyDescent="0.3">
      <c r="A26" s="1">
        <v>1</v>
      </c>
      <c r="B26" s="1">
        <v>3</v>
      </c>
      <c r="C26" s="7">
        <v>0.52790000000000004</v>
      </c>
      <c r="D26" s="7">
        <v>-0.1888</v>
      </c>
      <c r="E26" s="7">
        <v>6.4128999999999996</v>
      </c>
      <c r="F26" s="7">
        <v>-7.2988999999999997</v>
      </c>
      <c r="G26" s="7">
        <v>17.245000000000001</v>
      </c>
      <c r="H26" s="7">
        <v>1.7214</v>
      </c>
      <c r="I26" s="7">
        <v>2.3441000000000001</v>
      </c>
    </row>
    <row r="27" spans="1:9" x14ac:dyDescent="0.3">
      <c r="A27" s="1">
        <v>1</v>
      </c>
      <c r="B27" s="1">
        <v>4</v>
      </c>
      <c r="C27" s="7">
        <v>0.52349999999999997</v>
      </c>
      <c r="D27" s="7">
        <v>-0.19400000000000001</v>
      </c>
      <c r="E27" s="7">
        <v>6.3794000000000004</v>
      </c>
      <c r="F27" s="7">
        <v>-7.3341000000000003</v>
      </c>
      <c r="G27" s="7">
        <v>17.2453</v>
      </c>
      <c r="H27" s="7">
        <v>1.72</v>
      </c>
      <c r="I27" s="7">
        <v>2.3441000000000001</v>
      </c>
    </row>
    <row r="28" spans="1:9" x14ac:dyDescent="0.3">
      <c r="A28" s="1">
        <v>1</v>
      </c>
      <c r="B28" s="1">
        <v>5</v>
      </c>
      <c r="C28" s="7">
        <v>2.6027</v>
      </c>
      <c r="D28" s="7">
        <v>-5.04E-2</v>
      </c>
      <c r="E28" s="7">
        <v>87.463499999999996</v>
      </c>
      <c r="F28" s="7">
        <v>-76.864699999999999</v>
      </c>
      <c r="G28" s="7">
        <v>19.776</v>
      </c>
      <c r="H28" s="7">
        <v>0.7016</v>
      </c>
      <c r="I28" s="7">
        <v>2.3441000000000001</v>
      </c>
    </row>
    <row r="29" spans="1:9" x14ac:dyDescent="0.3">
      <c r="A29" s="1">
        <v>1</v>
      </c>
      <c r="B29" s="1">
        <v>6</v>
      </c>
      <c r="C29" s="7">
        <v>2.4857</v>
      </c>
      <c r="D29" s="7">
        <v>-5.0999999999999997E-2</v>
      </c>
      <c r="E29" s="7">
        <v>87.428299999999993</v>
      </c>
      <c r="F29" s="7">
        <v>-77.011300000000006</v>
      </c>
      <c r="G29" s="7">
        <v>19.741199999999999</v>
      </c>
      <c r="H29" s="7">
        <v>0.60350000000000004</v>
      </c>
      <c r="I29" s="7">
        <v>2.3441000000000001</v>
      </c>
    </row>
    <row r="31" spans="1:9" s="1" customFormat="1" x14ac:dyDescent="0.3">
      <c r="A31" s="1" t="s">
        <v>0</v>
      </c>
      <c r="B31" s="1" t="s">
        <v>1</v>
      </c>
      <c r="C31" s="10" t="s">
        <v>13</v>
      </c>
      <c r="D31" s="10" t="s">
        <v>14</v>
      </c>
      <c r="E31" s="10" t="s">
        <v>15</v>
      </c>
      <c r="F31" s="10" t="s">
        <v>16</v>
      </c>
      <c r="G31" s="10"/>
      <c r="H31" s="10"/>
      <c r="I31" s="10"/>
    </row>
    <row r="32" spans="1:9" x14ac:dyDescent="0.3">
      <c r="A32" s="2" t="s">
        <v>2</v>
      </c>
      <c r="B32" s="2" t="s">
        <v>2</v>
      </c>
      <c r="C32">
        <f>50.5679-50</f>
        <v>0.56790000000000163</v>
      </c>
      <c r="D32">
        <f>49.8994-50</f>
        <v>-0.10060000000000002</v>
      </c>
      <c r="E32">
        <v>5.0690999999999997</v>
      </c>
      <c r="F32">
        <v>-5.1708999999999996</v>
      </c>
    </row>
    <row r="33" spans="1:6" x14ac:dyDescent="0.3">
      <c r="A33" s="1">
        <v>0</v>
      </c>
      <c r="B33" s="1">
        <v>0</v>
      </c>
      <c r="C33" s="7">
        <v>0.56790000000000163</v>
      </c>
      <c r="D33" s="7">
        <v>-0.10060000000000002</v>
      </c>
      <c r="E33" s="7">
        <v>5.0690999999999997</v>
      </c>
      <c r="F33" s="7">
        <v>-5.1708999999999996</v>
      </c>
    </row>
    <row r="34" spans="1:6" x14ac:dyDescent="0.3">
      <c r="A34" s="1">
        <v>1</v>
      </c>
      <c r="B34" s="1">
        <v>0.1</v>
      </c>
      <c r="C34" s="7">
        <v>0.56469999999999998</v>
      </c>
      <c r="D34" s="7">
        <v>-0.10630000000000001</v>
      </c>
      <c r="E34" s="7">
        <v>5.1260000000000003</v>
      </c>
      <c r="F34" s="7">
        <v>-5.19</v>
      </c>
    </row>
    <row r="35" spans="1:6" x14ac:dyDescent="0.3">
      <c r="A35" s="1">
        <v>1</v>
      </c>
      <c r="B35" s="1">
        <v>0.5</v>
      </c>
      <c r="C35" s="7">
        <v>0.56440000000000001</v>
      </c>
      <c r="D35" s="7">
        <v>-0.1137</v>
      </c>
      <c r="E35" s="7">
        <v>5.1512000000000002</v>
      </c>
      <c r="F35" s="7">
        <v>-5.2068000000000003</v>
      </c>
    </row>
    <row r="36" spans="1:6" x14ac:dyDescent="0.3">
      <c r="A36" s="1">
        <v>1</v>
      </c>
      <c r="B36" s="1">
        <v>1</v>
      </c>
      <c r="C36" s="7">
        <v>0.56430000000000002</v>
      </c>
      <c r="D36" s="7">
        <v>-0.12089999999999999</v>
      </c>
      <c r="E36" s="7">
        <v>5.1835000000000004</v>
      </c>
      <c r="F36" s="7">
        <v>-5.2256</v>
      </c>
    </row>
    <row r="37" spans="1:6" x14ac:dyDescent="0.3">
      <c r="A37" s="1">
        <v>1</v>
      </c>
      <c r="B37" s="1">
        <v>2</v>
      </c>
      <c r="C37" s="7">
        <v>0.56479999999999997</v>
      </c>
      <c r="D37" s="7">
        <v>-0.13189999999999999</v>
      </c>
      <c r="E37" s="7">
        <v>5.2514000000000003</v>
      </c>
      <c r="F37" s="7">
        <v>-5.2685000000000004</v>
      </c>
    </row>
    <row r="38" spans="1:6" x14ac:dyDescent="0.3">
      <c r="A38" s="1">
        <v>1</v>
      </c>
      <c r="B38" s="1">
        <v>3</v>
      </c>
      <c r="C38" s="7">
        <v>0.56540000000000001</v>
      </c>
      <c r="D38" s="7">
        <v>-0.14169999999999999</v>
      </c>
      <c r="E38" s="7">
        <v>5.3037999999999998</v>
      </c>
      <c r="F38" s="7">
        <v>-5.3143000000000002</v>
      </c>
    </row>
    <row r="39" spans="1:6" x14ac:dyDescent="0.3">
      <c r="A39" s="1">
        <v>1</v>
      </c>
      <c r="B39" s="1">
        <v>4</v>
      </c>
      <c r="C39" s="7">
        <v>0.56610000000000005</v>
      </c>
      <c r="D39" s="7">
        <v>-0.15090000000000001</v>
      </c>
      <c r="E39" s="7">
        <v>5.3545999999999996</v>
      </c>
      <c r="F39" s="7">
        <v>-5.3426999999999998</v>
      </c>
    </row>
    <row r="40" spans="1:6" x14ac:dyDescent="0.3">
      <c r="A40" s="1">
        <v>1</v>
      </c>
      <c r="B40" s="1">
        <v>5</v>
      </c>
      <c r="C40" s="7">
        <v>2.7008000000000001</v>
      </c>
      <c r="D40" s="7">
        <v>-5.3999999999999999E-2</v>
      </c>
      <c r="E40" s="7">
        <v>30.640499999999999</v>
      </c>
      <c r="F40" s="7">
        <v>-27.356400000000001</v>
      </c>
    </row>
    <row r="41" spans="1:6" x14ac:dyDescent="0.3">
      <c r="A41" s="1">
        <v>1</v>
      </c>
      <c r="B41" s="1">
        <v>6</v>
      </c>
      <c r="C41" s="7">
        <v>2.6185999999999998</v>
      </c>
      <c r="D41" s="7">
        <v>-5.3600000000000002E-2</v>
      </c>
      <c r="E41" s="7">
        <v>30.717099999999999</v>
      </c>
      <c r="F41" s="7">
        <v>-27.243600000000001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ADB6-6E0A-4E12-94F1-79BE3ADCF4FD}">
  <dimension ref="A1:K35"/>
  <sheetViews>
    <sheetView topLeftCell="A10" zoomScale="130" zoomScaleNormal="130" workbookViewId="0">
      <selection activeCell="C1" sqref="C1:I1"/>
    </sheetView>
  </sheetViews>
  <sheetFormatPr defaultRowHeight="14.4" x14ac:dyDescent="0.3"/>
  <cols>
    <col min="3" max="4" width="8.88671875" style="7"/>
    <col min="5" max="6" width="9.5546875" style="7" bestFit="1" customWidth="1"/>
    <col min="7" max="9" width="8.88671875" style="7"/>
  </cols>
  <sheetData>
    <row r="1" spans="1:11" x14ac:dyDescent="0.3">
      <c r="A1" t="s">
        <v>0</v>
      </c>
      <c r="B1" t="s">
        <v>1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11</v>
      </c>
      <c r="H1" s="7" t="s">
        <v>17</v>
      </c>
      <c r="I1" s="7" t="s">
        <v>12</v>
      </c>
    </row>
    <row r="2" spans="1:11" x14ac:dyDescent="0.3">
      <c r="A2" s="8" t="s">
        <v>2</v>
      </c>
      <c r="B2" s="8" t="s">
        <v>2</v>
      </c>
      <c r="C2" s="7">
        <v>0.44579999999999997</v>
      </c>
      <c r="D2" s="7">
        <f>49.9866-50</f>
        <v>-1.3399999999997192E-2</v>
      </c>
      <c r="E2" s="7">
        <v>2.3113000000000001</v>
      </c>
      <c r="F2" s="7">
        <v>-2.4767999999999999</v>
      </c>
      <c r="G2" s="7">
        <v>13.333500000000001</v>
      </c>
      <c r="H2" s="7">
        <v>1.7908999999999999</v>
      </c>
      <c r="I2" s="7">
        <v>2.3441000000000001</v>
      </c>
    </row>
    <row r="3" spans="1:11" x14ac:dyDescent="0.3">
      <c r="A3">
        <v>0</v>
      </c>
      <c r="B3">
        <v>0</v>
      </c>
      <c r="C3" s="7">
        <v>0.44579999999999997</v>
      </c>
      <c r="D3" s="7">
        <v>-1.3399999999997192E-2</v>
      </c>
      <c r="E3" s="7">
        <v>2.3113000000000001</v>
      </c>
      <c r="F3" s="7">
        <v>-2.4767999999999999</v>
      </c>
      <c r="G3" s="7">
        <v>15.013500000000001</v>
      </c>
      <c r="H3" s="7">
        <v>1.7799</v>
      </c>
      <c r="I3" s="7">
        <v>2.3441000000000001</v>
      </c>
    </row>
    <row r="4" spans="1:11" x14ac:dyDescent="0.3">
      <c r="A4">
        <v>0.1</v>
      </c>
      <c r="B4">
        <v>1</v>
      </c>
    </row>
    <row r="5" spans="1:11" x14ac:dyDescent="0.3">
      <c r="A5">
        <v>0.5</v>
      </c>
      <c r="B5">
        <v>1</v>
      </c>
    </row>
    <row r="6" spans="1:11" x14ac:dyDescent="0.3">
      <c r="A6">
        <v>1</v>
      </c>
      <c r="B6">
        <v>1</v>
      </c>
    </row>
    <row r="7" spans="1:11" x14ac:dyDescent="0.3">
      <c r="A7">
        <v>2</v>
      </c>
      <c r="B7">
        <v>1</v>
      </c>
      <c r="K7" t="s">
        <v>18</v>
      </c>
    </row>
    <row r="8" spans="1:11" x14ac:dyDescent="0.3">
      <c r="A8">
        <v>3</v>
      </c>
      <c r="B8">
        <v>1</v>
      </c>
    </row>
    <row r="9" spans="1:11" x14ac:dyDescent="0.3">
      <c r="A9">
        <v>4</v>
      </c>
      <c r="B9">
        <v>1</v>
      </c>
    </row>
    <row r="10" spans="1:11" x14ac:dyDescent="0.3">
      <c r="A10">
        <v>5</v>
      </c>
      <c r="B10">
        <v>1</v>
      </c>
    </row>
    <row r="11" spans="1:11" x14ac:dyDescent="0.3">
      <c r="A11">
        <v>6</v>
      </c>
      <c r="B11">
        <v>1</v>
      </c>
    </row>
    <row r="13" spans="1:11" x14ac:dyDescent="0.3">
      <c r="A13" t="s">
        <v>0</v>
      </c>
      <c r="B13" t="s">
        <v>1</v>
      </c>
      <c r="C13" s="7" t="s">
        <v>13</v>
      </c>
      <c r="D13" s="7" t="s">
        <v>14</v>
      </c>
      <c r="E13" s="7" t="s">
        <v>15</v>
      </c>
      <c r="F13" s="7" t="s">
        <v>16</v>
      </c>
      <c r="G13" s="7" t="s">
        <v>11</v>
      </c>
      <c r="H13" s="7" t="s">
        <v>17</v>
      </c>
      <c r="I13" s="7" t="s">
        <v>12</v>
      </c>
    </row>
    <row r="14" spans="1:11" x14ac:dyDescent="0.3">
      <c r="A14" s="8" t="s">
        <v>2</v>
      </c>
      <c r="B14" s="8" t="s">
        <v>2</v>
      </c>
      <c r="C14" s="7">
        <f>50.5508-50</f>
        <v>0.5508000000000024</v>
      </c>
      <c r="D14" s="7">
        <f>49.8377-50</f>
        <v>-0.16230000000000189</v>
      </c>
      <c r="E14" s="7">
        <v>6.4161000000000001</v>
      </c>
      <c r="F14" s="7">
        <v>-6.9343000000000004</v>
      </c>
      <c r="G14" s="7">
        <v>15.3466</v>
      </c>
      <c r="H14" s="7">
        <v>1.7370000000000001</v>
      </c>
      <c r="I14" s="7">
        <v>2.3441000000000001</v>
      </c>
    </row>
    <row r="15" spans="1:11" x14ac:dyDescent="0.3">
      <c r="A15">
        <v>0</v>
      </c>
      <c r="B15">
        <v>0</v>
      </c>
      <c r="C15" s="7">
        <v>0.5508000000000024</v>
      </c>
      <c r="D15" s="7">
        <v>-0.16230000000000189</v>
      </c>
      <c r="E15" s="7">
        <v>6.4161000000000001</v>
      </c>
      <c r="F15" s="7">
        <v>-6.9343000000000004</v>
      </c>
      <c r="G15" s="7">
        <v>17.243200000000002</v>
      </c>
      <c r="H15" s="7">
        <v>1.7222999999999999</v>
      </c>
      <c r="I15" s="7">
        <v>2.3441000000000001</v>
      </c>
    </row>
    <row r="16" spans="1:11" x14ac:dyDescent="0.3">
      <c r="A16">
        <v>0.1</v>
      </c>
      <c r="B16">
        <v>1</v>
      </c>
    </row>
    <row r="17" spans="1:6" x14ac:dyDescent="0.3">
      <c r="A17">
        <v>0.5</v>
      </c>
      <c r="B17">
        <v>1</v>
      </c>
    </row>
    <row r="18" spans="1:6" x14ac:dyDescent="0.3">
      <c r="A18">
        <v>1</v>
      </c>
      <c r="B18">
        <v>1</v>
      </c>
    </row>
    <row r="19" spans="1:6" x14ac:dyDescent="0.3">
      <c r="A19">
        <v>2</v>
      </c>
      <c r="B19">
        <v>1</v>
      </c>
    </row>
    <row r="20" spans="1:6" x14ac:dyDescent="0.3">
      <c r="A20">
        <v>3</v>
      </c>
      <c r="B20">
        <v>1</v>
      </c>
    </row>
    <row r="21" spans="1:6" x14ac:dyDescent="0.3">
      <c r="A21">
        <v>4</v>
      </c>
      <c r="B21">
        <v>1</v>
      </c>
    </row>
    <row r="22" spans="1:6" x14ac:dyDescent="0.3">
      <c r="A22">
        <v>5</v>
      </c>
      <c r="B22">
        <v>1</v>
      </c>
    </row>
    <row r="23" spans="1:6" x14ac:dyDescent="0.3">
      <c r="A23">
        <v>6</v>
      </c>
      <c r="B23">
        <v>1</v>
      </c>
    </row>
    <row r="25" spans="1:6" x14ac:dyDescent="0.3">
      <c r="A25" t="s">
        <v>0</v>
      </c>
      <c r="B25" t="s">
        <v>1</v>
      </c>
      <c r="C25" s="7" t="s">
        <v>13</v>
      </c>
      <c r="D25" s="7" t="s">
        <v>14</v>
      </c>
      <c r="E25" s="7" t="s">
        <v>15</v>
      </c>
      <c r="F25" s="7" t="s">
        <v>16</v>
      </c>
    </row>
    <row r="26" spans="1:6" x14ac:dyDescent="0.3">
      <c r="A26" s="8" t="s">
        <v>2</v>
      </c>
      <c r="B26" s="8" t="s">
        <v>2</v>
      </c>
      <c r="C26" s="7">
        <f>50.5679-50</f>
        <v>0.56790000000000163</v>
      </c>
      <c r="D26" s="7">
        <f>49.8994-50</f>
        <v>-0.10060000000000002</v>
      </c>
      <c r="E26" s="7">
        <v>5.0690999999999997</v>
      </c>
      <c r="F26" s="7">
        <v>-5.1708999999999996</v>
      </c>
    </row>
    <row r="27" spans="1:6" x14ac:dyDescent="0.3">
      <c r="A27">
        <v>0</v>
      </c>
      <c r="B27">
        <v>0</v>
      </c>
      <c r="C27" s="7">
        <v>0.56790000000000163</v>
      </c>
      <c r="D27" s="7">
        <v>-0.10060000000000002</v>
      </c>
      <c r="E27" s="7">
        <v>5.0690999999999997</v>
      </c>
      <c r="F27" s="7">
        <v>-5.1708999999999996</v>
      </c>
    </row>
    <row r="28" spans="1:6" x14ac:dyDescent="0.3">
      <c r="A28">
        <v>0.1</v>
      </c>
      <c r="B28">
        <v>1</v>
      </c>
    </row>
    <row r="29" spans="1:6" x14ac:dyDescent="0.3">
      <c r="A29">
        <v>0.5</v>
      </c>
      <c r="B29">
        <v>1</v>
      </c>
    </row>
    <row r="30" spans="1:6" x14ac:dyDescent="0.3">
      <c r="A30">
        <v>1</v>
      </c>
      <c r="B30">
        <v>1</v>
      </c>
    </row>
    <row r="31" spans="1:6" x14ac:dyDescent="0.3">
      <c r="A31">
        <v>2</v>
      </c>
      <c r="B31">
        <v>1</v>
      </c>
    </row>
    <row r="32" spans="1:6" x14ac:dyDescent="0.3">
      <c r="A32">
        <v>3</v>
      </c>
      <c r="B32">
        <v>1</v>
      </c>
    </row>
    <row r="33" spans="1:2" x14ac:dyDescent="0.3">
      <c r="A33">
        <v>4</v>
      </c>
      <c r="B33">
        <v>1</v>
      </c>
    </row>
    <row r="34" spans="1:2" x14ac:dyDescent="0.3">
      <c r="A34">
        <v>5</v>
      </c>
      <c r="B34">
        <v>1</v>
      </c>
    </row>
    <row r="35" spans="1:2" x14ac:dyDescent="0.3">
      <c r="A35">
        <v>6</v>
      </c>
      <c r="B3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2C0A-AFF2-486C-A080-7BB57CCF4F20}">
  <dimension ref="A1:Y26"/>
  <sheetViews>
    <sheetView tabSelected="1" topLeftCell="A10" zoomScale="130" zoomScaleNormal="130" workbookViewId="0">
      <selection activeCell="J17" sqref="J17"/>
    </sheetView>
  </sheetViews>
  <sheetFormatPr defaultRowHeight="14.4" x14ac:dyDescent="0.3"/>
  <cols>
    <col min="1" max="1" width="8.88671875" style="1"/>
    <col min="10" max="10" width="8.88671875" style="1"/>
    <col min="11" max="16" width="8.88671875" style="7"/>
    <col min="19" max="19" width="8.88671875" style="1"/>
  </cols>
  <sheetData>
    <row r="1" spans="1:25" x14ac:dyDescent="0.3">
      <c r="A1" s="1" t="s">
        <v>19</v>
      </c>
      <c r="B1" t="s">
        <v>6</v>
      </c>
      <c r="C1" s="7"/>
      <c r="D1" s="7"/>
      <c r="E1" s="7"/>
      <c r="F1" s="7"/>
      <c r="G1" s="7"/>
      <c r="H1" s="7"/>
    </row>
    <row r="2" spans="1:25" x14ac:dyDescent="0.3">
      <c r="A2" s="1" t="s">
        <v>20</v>
      </c>
      <c r="B2" t="s">
        <v>7</v>
      </c>
      <c r="C2" s="7"/>
      <c r="D2" s="7"/>
      <c r="E2" s="7"/>
      <c r="F2" s="7"/>
      <c r="G2" s="7"/>
      <c r="H2" s="7"/>
    </row>
    <row r="3" spans="1:25" x14ac:dyDescent="0.3">
      <c r="A3" s="1" t="s">
        <v>11</v>
      </c>
      <c r="B3" t="s">
        <v>8</v>
      </c>
      <c r="C3" s="7"/>
      <c r="D3" s="7"/>
      <c r="E3" s="7"/>
      <c r="F3" s="7"/>
      <c r="G3" s="7"/>
      <c r="H3" s="7"/>
    </row>
    <row r="4" spans="1:25" x14ac:dyDescent="0.3">
      <c r="A4" s="1" t="s">
        <v>12</v>
      </c>
      <c r="B4" s="9" t="s">
        <v>10</v>
      </c>
      <c r="C4" s="7"/>
      <c r="D4" s="7"/>
      <c r="E4" s="7"/>
      <c r="F4" s="7"/>
      <c r="G4" s="7"/>
      <c r="H4" s="7"/>
    </row>
    <row r="5" spans="1:25" x14ac:dyDescent="0.3">
      <c r="B5" s="9"/>
      <c r="C5" s="7"/>
      <c r="D5" s="7"/>
      <c r="E5" s="7"/>
      <c r="F5" s="7"/>
      <c r="G5" s="7"/>
      <c r="H5" s="7"/>
    </row>
    <row r="6" spans="1:25" s="11" customFormat="1" x14ac:dyDescent="0.3">
      <c r="A6" s="11" t="s">
        <v>23</v>
      </c>
      <c r="B6" s="12"/>
      <c r="C6" s="12"/>
      <c r="D6" s="12"/>
      <c r="E6" s="12"/>
      <c r="F6" s="12"/>
      <c r="G6" s="12"/>
      <c r="J6" s="11" t="s">
        <v>23</v>
      </c>
      <c r="K6" s="12"/>
      <c r="L6" s="12"/>
      <c r="M6" s="12"/>
      <c r="N6" s="12"/>
      <c r="O6" s="12"/>
      <c r="P6" s="12"/>
      <c r="S6" s="11" t="s">
        <v>23</v>
      </c>
      <c r="T6" s="12"/>
      <c r="U6" s="12"/>
      <c r="V6" s="12"/>
      <c r="W6" s="12"/>
      <c r="X6" s="12"/>
      <c r="Y6" s="12"/>
    </row>
    <row r="7" spans="1:25" s="11" customFormat="1" x14ac:dyDescent="0.3">
      <c r="A7" s="11" t="s">
        <v>24</v>
      </c>
      <c r="B7" s="12"/>
      <c r="C7" s="12"/>
      <c r="D7" s="12"/>
      <c r="E7" s="12"/>
      <c r="F7" s="12"/>
      <c r="G7" s="12"/>
      <c r="J7" s="11" t="s">
        <v>25</v>
      </c>
      <c r="K7" s="12"/>
      <c r="L7" s="12"/>
      <c r="M7" s="12"/>
      <c r="N7" s="12"/>
      <c r="O7" s="12"/>
      <c r="P7" s="12"/>
      <c r="S7" s="11" t="s">
        <v>26</v>
      </c>
      <c r="T7" s="12"/>
      <c r="U7" s="12"/>
      <c r="V7" s="12"/>
      <c r="W7" s="12"/>
      <c r="X7" s="12"/>
      <c r="Y7" s="12"/>
    </row>
    <row r="8" spans="1:25" s="11" customFormat="1" x14ac:dyDescent="0.3">
      <c r="A8" s="11" t="s">
        <v>22</v>
      </c>
      <c r="B8" s="12"/>
      <c r="C8" s="12"/>
      <c r="D8" s="12"/>
      <c r="E8" s="12"/>
      <c r="F8" s="12"/>
      <c r="G8" s="12"/>
      <c r="J8" s="11" t="s">
        <v>22</v>
      </c>
      <c r="K8" s="12"/>
      <c r="L8" s="12"/>
      <c r="M8" s="12"/>
      <c r="N8" s="12"/>
      <c r="O8" s="12"/>
      <c r="P8" s="12"/>
      <c r="S8" s="11" t="s">
        <v>22</v>
      </c>
      <c r="T8" s="12"/>
      <c r="U8" s="12"/>
      <c r="V8" s="12"/>
      <c r="W8" s="12"/>
      <c r="X8" s="12"/>
      <c r="Y8" s="12"/>
    </row>
    <row r="9" spans="1:25" x14ac:dyDescent="0.3">
      <c r="B9" s="7"/>
      <c r="C9" s="7"/>
      <c r="D9" s="7"/>
      <c r="E9" s="7"/>
      <c r="F9" s="7"/>
      <c r="G9" s="7"/>
      <c r="T9" s="7"/>
      <c r="U9" s="7"/>
      <c r="V9" s="7"/>
      <c r="W9" s="7"/>
      <c r="X9" s="7"/>
      <c r="Y9" s="7"/>
    </row>
    <row r="10" spans="1:25" x14ac:dyDescent="0.3">
      <c r="A10" s="1" t="s">
        <v>3</v>
      </c>
      <c r="B10" s="7"/>
      <c r="C10" s="7"/>
      <c r="D10" s="7"/>
      <c r="E10" s="7"/>
      <c r="F10" s="7"/>
      <c r="G10" s="7"/>
      <c r="J10" s="1" t="s">
        <v>3</v>
      </c>
      <c r="S10" s="1" t="s">
        <v>3</v>
      </c>
      <c r="T10" s="7"/>
      <c r="U10" s="7"/>
      <c r="V10" s="7"/>
      <c r="W10" s="7"/>
      <c r="X10" s="7"/>
      <c r="Y10" s="7"/>
    </row>
    <row r="11" spans="1:25" s="1" customFormat="1" x14ac:dyDescent="0.3">
      <c r="B11" s="10" t="s">
        <v>13</v>
      </c>
      <c r="C11" s="10" t="s">
        <v>14</v>
      </c>
      <c r="D11" s="10" t="s">
        <v>15</v>
      </c>
      <c r="E11" s="10" t="s">
        <v>16</v>
      </c>
      <c r="F11" s="10" t="s">
        <v>11</v>
      </c>
      <c r="G11" s="10" t="s">
        <v>12</v>
      </c>
      <c r="K11" s="10" t="s">
        <v>13</v>
      </c>
      <c r="L11" s="10" t="s">
        <v>14</v>
      </c>
      <c r="M11" s="10" t="s">
        <v>15</v>
      </c>
      <c r="N11" s="10" t="s">
        <v>16</v>
      </c>
      <c r="O11" s="10" t="s">
        <v>11</v>
      </c>
      <c r="P11" s="10" t="s">
        <v>12</v>
      </c>
      <c r="T11" s="10" t="s">
        <v>13</v>
      </c>
      <c r="U11" s="10" t="s">
        <v>14</v>
      </c>
      <c r="V11" s="10" t="s">
        <v>15</v>
      </c>
      <c r="W11" s="10" t="s">
        <v>16</v>
      </c>
      <c r="X11" s="10" t="s">
        <v>11</v>
      </c>
      <c r="Y11" s="10" t="s">
        <v>12</v>
      </c>
    </row>
    <row r="12" spans="1:25" x14ac:dyDescent="0.3">
      <c r="A12" s="1" t="s">
        <v>21</v>
      </c>
      <c r="B12" s="7">
        <v>0.20849999999999999</v>
      </c>
      <c r="C12" s="13">
        <v>-8.3799999999999999E-2</v>
      </c>
      <c r="D12" s="13">
        <v>1.7223999999999999</v>
      </c>
      <c r="E12" s="7">
        <v>-1.9644999999999999</v>
      </c>
      <c r="F12" s="7">
        <v>10.016400000000001</v>
      </c>
      <c r="G12" s="7">
        <v>1.5628</v>
      </c>
      <c r="J12" s="1" t="s">
        <v>21</v>
      </c>
      <c r="K12" s="7">
        <v>0.22720000000000001</v>
      </c>
      <c r="L12" s="7">
        <v>-1.47E-2</v>
      </c>
      <c r="M12" s="7">
        <v>1.1879</v>
      </c>
      <c r="N12" s="7">
        <v>-1.3399000000000001</v>
      </c>
      <c r="O12" s="7">
        <v>11.8352</v>
      </c>
      <c r="P12" s="7">
        <v>2.3441000000000001</v>
      </c>
      <c r="S12" s="1" t="s">
        <v>21</v>
      </c>
      <c r="T12" s="7">
        <v>0.52659999999999996</v>
      </c>
      <c r="U12" s="7">
        <v>-1.78E-2</v>
      </c>
      <c r="V12" s="7">
        <v>2.5272000000000001</v>
      </c>
      <c r="W12" s="7">
        <v>-2.3647</v>
      </c>
      <c r="X12" s="7">
        <v>11.5153</v>
      </c>
      <c r="Y12" s="7">
        <v>1.5628</v>
      </c>
    </row>
    <row r="13" spans="1:25" x14ac:dyDescent="0.3">
      <c r="A13" s="1" t="s">
        <v>27</v>
      </c>
      <c r="B13" s="7">
        <v>0.56840000000000002</v>
      </c>
      <c r="C13" s="13">
        <v>-0.1328</v>
      </c>
      <c r="D13" s="13">
        <v>4.0010000000000003</v>
      </c>
      <c r="E13" s="7">
        <v>-4.3521000000000001</v>
      </c>
      <c r="F13" s="7">
        <v>13.8741</v>
      </c>
      <c r="G13" s="7">
        <v>1.7581</v>
      </c>
      <c r="J13" s="1" t="s">
        <v>27</v>
      </c>
      <c r="K13" s="7">
        <v>0.2397</v>
      </c>
      <c r="L13" s="7">
        <v>-1.5299999999999999E-2</v>
      </c>
      <c r="M13" s="7">
        <v>1.3184</v>
      </c>
      <c r="N13" s="7">
        <v>-1.466</v>
      </c>
      <c r="O13" s="7">
        <v>13.5046</v>
      </c>
      <c r="P13" s="7">
        <v>2.3441000000000001</v>
      </c>
      <c r="S13" s="1" t="s">
        <v>27</v>
      </c>
      <c r="T13" s="7">
        <v>0.53810000000000002</v>
      </c>
      <c r="U13" s="7">
        <v>-1.77E-2</v>
      </c>
      <c r="V13" s="7">
        <v>2.5951</v>
      </c>
      <c r="W13" s="7">
        <v>-2.4358</v>
      </c>
      <c r="X13" s="7">
        <v>13.172499999999999</v>
      </c>
      <c r="Y13" s="7">
        <v>1.7581</v>
      </c>
    </row>
    <row r="14" spans="1:25" x14ac:dyDescent="0.3">
      <c r="A14" s="1" t="s">
        <v>28</v>
      </c>
      <c r="B14" s="7">
        <v>0.59279999999999999</v>
      </c>
      <c r="C14" s="13">
        <v>-0.1076</v>
      </c>
      <c r="D14" s="13">
        <v>3.7639</v>
      </c>
      <c r="E14" s="7">
        <v>-4.8430999999999997</v>
      </c>
      <c r="F14" s="7">
        <v>9.8520000000000003</v>
      </c>
      <c r="G14" s="7">
        <v>1.5628</v>
      </c>
      <c r="J14" s="1" t="s">
        <v>28</v>
      </c>
      <c r="K14" s="7">
        <v>0.2495</v>
      </c>
      <c r="L14" s="7">
        <v>-0.03</v>
      </c>
      <c r="M14" s="7">
        <v>1.3784000000000001</v>
      </c>
      <c r="N14" s="7">
        <v>-1.609</v>
      </c>
      <c r="O14" s="7">
        <v>12.058299999999999</v>
      </c>
      <c r="P14" s="7">
        <v>2.3441000000000001</v>
      </c>
      <c r="S14" s="1" t="s">
        <v>28</v>
      </c>
      <c r="T14" s="7">
        <v>0.55045999999999995</v>
      </c>
      <c r="U14" s="7">
        <v>-1.15E-2</v>
      </c>
      <c r="V14" s="7">
        <v>3.0253000000000001</v>
      </c>
      <c r="W14" s="7">
        <v>-2.6777000000000002</v>
      </c>
      <c r="X14" s="7">
        <v>11.305400000000001</v>
      </c>
      <c r="Y14" s="7">
        <v>1.5628</v>
      </c>
    </row>
    <row r="15" spans="1:25" x14ac:dyDescent="0.3">
      <c r="B15" s="7"/>
      <c r="C15" s="7"/>
      <c r="D15" s="7"/>
      <c r="E15" s="7"/>
      <c r="F15" s="7"/>
      <c r="G15" s="7"/>
      <c r="T15" s="7"/>
      <c r="U15" s="7"/>
      <c r="V15" s="7"/>
      <c r="W15" s="7"/>
      <c r="X15" s="7"/>
      <c r="Y15" s="7"/>
    </row>
    <row r="16" spans="1:25" x14ac:dyDescent="0.3">
      <c r="A16" s="1" t="s">
        <v>4</v>
      </c>
      <c r="B16" s="7"/>
      <c r="C16" s="7"/>
      <c r="D16" s="7"/>
      <c r="E16" s="7"/>
      <c r="F16" s="7"/>
      <c r="G16" s="7"/>
      <c r="J16" s="1" t="s">
        <v>4</v>
      </c>
      <c r="S16" s="1" t="s">
        <v>4</v>
      </c>
      <c r="T16" s="7"/>
      <c r="U16" s="7"/>
      <c r="V16" s="7"/>
      <c r="W16" s="7"/>
      <c r="X16" s="7"/>
      <c r="Y16" s="7"/>
    </row>
    <row r="17" spans="1:25" s="1" customFormat="1" x14ac:dyDescent="0.3">
      <c r="B17" s="10" t="s">
        <v>13</v>
      </c>
      <c r="C17" s="10" t="s">
        <v>14</v>
      </c>
      <c r="D17" s="10" t="s">
        <v>15</v>
      </c>
      <c r="E17" s="10" t="s">
        <v>16</v>
      </c>
      <c r="F17" s="10" t="s">
        <v>11</v>
      </c>
      <c r="G17" s="10" t="s">
        <v>12</v>
      </c>
      <c r="K17" s="10" t="s">
        <v>13</v>
      </c>
      <c r="L17" s="10" t="s">
        <v>14</v>
      </c>
      <c r="M17" s="10" t="s">
        <v>15</v>
      </c>
      <c r="N17" s="10" t="s">
        <v>16</v>
      </c>
      <c r="O17" s="10" t="s">
        <v>11</v>
      </c>
      <c r="P17" s="10" t="s">
        <v>12</v>
      </c>
      <c r="T17" s="10" t="s">
        <v>13</v>
      </c>
      <c r="U17" s="10" t="s">
        <v>14</v>
      </c>
      <c r="V17" s="10" t="s">
        <v>15</v>
      </c>
      <c r="W17" s="10" t="s">
        <v>16</v>
      </c>
      <c r="X17" s="10" t="s">
        <v>11</v>
      </c>
      <c r="Y17" s="10" t="s">
        <v>12</v>
      </c>
    </row>
    <row r="18" spans="1:25" x14ac:dyDescent="0.3">
      <c r="A18" s="1" t="s">
        <v>21</v>
      </c>
      <c r="B18" s="7">
        <v>0.16439999999999999</v>
      </c>
      <c r="C18" s="7">
        <v>-3.1699999999999999E-2</v>
      </c>
      <c r="D18" s="7">
        <v>1.0881000000000001</v>
      </c>
      <c r="E18" s="7">
        <v>-1.2241</v>
      </c>
      <c r="F18" s="7">
        <v>6.9028</v>
      </c>
      <c r="G18" s="7">
        <v>2.3441000000000001</v>
      </c>
      <c r="J18" s="1" t="s">
        <v>21</v>
      </c>
      <c r="K18" s="7">
        <v>0.28160000000000002</v>
      </c>
      <c r="L18" s="7">
        <v>-8.7499999999999994E-2</v>
      </c>
      <c r="M18" s="13">
        <v>3.2957000000000001</v>
      </c>
      <c r="N18" s="7">
        <v>-3.6093999999999999</v>
      </c>
      <c r="O18" s="7">
        <v>12.662000000000001</v>
      </c>
      <c r="P18" s="7">
        <v>2.3441000000000001</v>
      </c>
      <c r="S18" s="1" t="s">
        <v>21</v>
      </c>
      <c r="T18" s="7">
        <v>0.48049999999999998</v>
      </c>
      <c r="U18" s="7">
        <v>-3.4200000000000001E-2</v>
      </c>
      <c r="V18" s="7">
        <v>3.2511000000000001</v>
      </c>
      <c r="W18" s="7">
        <v>-3.5832000000000002</v>
      </c>
      <c r="X18" s="7">
        <v>11.262700000000001</v>
      </c>
      <c r="Y18" s="7">
        <v>2.3441000000000001</v>
      </c>
    </row>
    <row r="19" spans="1:25" x14ac:dyDescent="0.3">
      <c r="A19" s="1" t="s">
        <v>27</v>
      </c>
      <c r="B19" s="7">
        <v>0.435</v>
      </c>
      <c r="C19" s="7">
        <v>-1.6199999999999999E-2</v>
      </c>
      <c r="D19" s="7">
        <v>1.8735999999999999</v>
      </c>
      <c r="E19" s="7">
        <v>-2.1812999999999998</v>
      </c>
      <c r="F19" s="7">
        <v>9.4039000000000001</v>
      </c>
      <c r="G19" s="7">
        <v>1.5628</v>
      </c>
      <c r="J19" s="1" t="s">
        <v>27</v>
      </c>
      <c r="K19" s="7">
        <v>0.27779999999999999</v>
      </c>
      <c r="L19" s="7">
        <v>-8.9899999999999994E-2</v>
      </c>
      <c r="M19" s="13">
        <v>3.3809999999999998</v>
      </c>
      <c r="N19" s="7">
        <v>-3.7513000000000001</v>
      </c>
      <c r="O19" s="7">
        <v>14.724399999999999</v>
      </c>
      <c r="P19" s="7">
        <v>2.3441000000000001</v>
      </c>
      <c r="S19" s="1" t="s">
        <v>27</v>
      </c>
      <c r="T19" s="7">
        <v>0.4803</v>
      </c>
      <c r="U19" s="7">
        <v>-2.9100000000000001E-2</v>
      </c>
      <c r="V19" s="7">
        <v>3.1884999999999999</v>
      </c>
      <c r="W19" s="7">
        <v>-3.5737000000000001</v>
      </c>
      <c r="X19" s="7">
        <v>13.7631</v>
      </c>
      <c r="Y19" s="7">
        <v>2.3441000000000001</v>
      </c>
    </row>
    <row r="20" spans="1:25" x14ac:dyDescent="0.3">
      <c r="A20" s="1" t="s">
        <v>28</v>
      </c>
      <c r="B20" s="7">
        <v>0.46060000000000001</v>
      </c>
      <c r="C20" s="7">
        <v>-1.14E-2</v>
      </c>
      <c r="D20" s="7">
        <v>1.8997999999999999</v>
      </c>
      <c r="E20" s="7">
        <v>-2.2658999999999998</v>
      </c>
      <c r="F20" s="7">
        <v>7.7804000000000002</v>
      </c>
      <c r="G20" s="7">
        <v>1.5628</v>
      </c>
      <c r="J20" s="1" t="s">
        <v>28</v>
      </c>
      <c r="K20" s="7">
        <v>0.26829999999999998</v>
      </c>
      <c r="L20" s="7">
        <v>-0.10440000000000001</v>
      </c>
      <c r="M20" s="13">
        <v>3.355</v>
      </c>
      <c r="N20" s="7">
        <v>-3.9</v>
      </c>
      <c r="O20" s="7">
        <v>14.745200000000001</v>
      </c>
      <c r="P20" s="7">
        <v>2.3441000000000001</v>
      </c>
      <c r="S20" s="1" t="s">
        <v>28</v>
      </c>
      <c r="T20" s="7">
        <v>0.48449999999999999</v>
      </c>
      <c r="U20" s="7">
        <v>-3.0700000000000002E-2</v>
      </c>
      <c r="V20" s="7">
        <v>3.5356999999999998</v>
      </c>
      <c r="W20" s="7">
        <v>-3.7513000000000001</v>
      </c>
      <c r="X20" s="7">
        <v>13.366099999999999</v>
      </c>
      <c r="Y20" s="7">
        <v>2.3441000000000001</v>
      </c>
    </row>
    <row r="21" spans="1:25" x14ac:dyDescent="0.3">
      <c r="B21" s="7"/>
      <c r="C21" s="7"/>
      <c r="D21" s="7"/>
      <c r="E21" s="7"/>
      <c r="F21" s="7"/>
      <c r="G21" s="7"/>
      <c r="T21" s="7"/>
      <c r="U21" s="7"/>
      <c r="V21" s="7"/>
      <c r="W21" s="7"/>
      <c r="X21" s="7"/>
      <c r="Y21" s="7"/>
    </row>
    <row r="22" spans="1:25" x14ac:dyDescent="0.3">
      <c r="A22" s="1" t="s">
        <v>5</v>
      </c>
      <c r="B22" s="7"/>
      <c r="C22" s="7"/>
      <c r="D22" s="7"/>
      <c r="E22" s="7"/>
      <c r="F22" s="7"/>
      <c r="G22" s="7"/>
      <c r="J22" s="1" t="s">
        <v>5</v>
      </c>
      <c r="S22" s="1" t="s">
        <v>5</v>
      </c>
      <c r="T22" s="7"/>
      <c r="U22" s="7"/>
      <c r="V22" s="7"/>
      <c r="W22" s="7"/>
      <c r="X22" s="7"/>
      <c r="Y22" s="7"/>
    </row>
    <row r="23" spans="1:25" s="1" customFormat="1" x14ac:dyDescent="0.3">
      <c r="B23" s="10" t="s">
        <v>13</v>
      </c>
      <c r="C23" s="10" t="s">
        <v>14</v>
      </c>
      <c r="D23" s="10" t="s">
        <v>15</v>
      </c>
      <c r="E23" s="10" t="s">
        <v>16</v>
      </c>
      <c r="F23" s="10"/>
      <c r="G23" s="10"/>
      <c r="K23" s="10" t="s">
        <v>13</v>
      </c>
      <c r="L23" s="10" t="s">
        <v>14</v>
      </c>
      <c r="M23" s="10" t="s">
        <v>15</v>
      </c>
      <c r="N23" s="10" t="s">
        <v>16</v>
      </c>
      <c r="O23" s="10"/>
      <c r="P23" s="10"/>
      <c r="T23" s="10" t="s">
        <v>13</v>
      </c>
      <c r="U23" s="10" t="s">
        <v>14</v>
      </c>
      <c r="V23" s="10" t="s">
        <v>15</v>
      </c>
      <c r="W23" s="10" t="s">
        <v>16</v>
      </c>
      <c r="X23" s="10"/>
      <c r="Y23" s="10"/>
    </row>
    <row r="24" spans="1:25" x14ac:dyDescent="0.3">
      <c r="A24" s="1" t="s">
        <v>21</v>
      </c>
      <c r="B24" s="7">
        <v>0.14249999999999999</v>
      </c>
      <c r="C24" s="7">
        <v>-1.6899999999999998E-2</v>
      </c>
      <c r="D24" s="13">
        <v>0.92789999999999995</v>
      </c>
      <c r="E24" s="13">
        <v>-0.76970000000000005</v>
      </c>
      <c r="F24" s="7"/>
      <c r="G24" s="7"/>
      <c r="J24" s="1" t="s">
        <v>21</v>
      </c>
      <c r="K24" s="13">
        <v>0.28720000000000001</v>
      </c>
      <c r="L24" s="7">
        <v>-5.7099999999999998E-2</v>
      </c>
      <c r="M24" s="7">
        <v>2.6625999999999999</v>
      </c>
      <c r="N24" s="7">
        <v>-2.6966000000000001</v>
      </c>
      <c r="S24" s="1" t="s">
        <v>21</v>
      </c>
      <c r="T24" s="13">
        <v>0.443</v>
      </c>
      <c r="U24" s="7">
        <v>-2.4199999999999999E-2</v>
      </c>
      <c r="V24" s="7">
        <v>3.9809999999999999</v>
      </c>
      <c r="W24" s="7">
        <v>-3.8037000000000001</v>
      </c>
      <c r="X24" s="7"/>
      <c r="Y24" s="7"/>
    </row>
    <row r="25" spans="1:25" x14ac:dyDescent="0.3">
      <c r="A25" s="1" t="s">
        <v>27</v>
      </c>
      <c r="B25" s="7">
        <v>0.37490000000000001</v>
      </c>
      <c r="C25" s="7">
        <v>-9.7000000000000003E-3</v>
      </c>
      <c r="D25" s="13">
        <v>1.4420999999999999</v>
      </c>
      <c r="E25" s="13">
        <v>-1.3026</v>
      </c>
      <c r="F25" s="7"/>
      <c r="G25" s="7"/>
      <c r="J25" s="1" t="s">
        <v>27</v>
      </c>
      <c r="K25" s="13">
        <v>0.28910000000000002</v>
      </c>
      <c r="L25" s="7">
        <v>-5.9900000000000002E-2</v>
      </c>
      <c r="M25" s="7">
        <v>2.7225000000000001</v>
      </c>
      <c r="N25" s="7">
        <v>-2.7269999999999999</v>
      </c>
      <c r="S25" s="1" t="s">
        <v>27</v>
      </c>
      <c r="T25" s="13">
        <v>0.44619999999999999</v>
      </c>
      <c r="U25" s="7">
        <v>-2.0199999999999999E-2</v>
      </c>
      <c r="V25" s="7">
        <v>3.0232999999999999</v>
      </c>
      <c r="W25" s="7">
        <v>-3.8157999999999999</v>
      </c>
      <c r="X25" s="7"/>
      <c r="Y25" s="7"/>
    </row>
    <row r="26" spans="1:25" x14ac:dyDescent="0.3">
      <c r="A26" s="1" t="s">
        <v>28</v>
      </c>
      <c r="B26" s="7">
        <v>0.39660000000000001</v>
      </c>
      <c r="C26" s="7">
        <v>-1.0800000000000001E-2</v>
      </c>
      <c r="D26" s="13">
        <v>1.3796999999999999</v>
      </c>
      <c r="E26" s="13">
        <v>-1.2906</v>
      </c>
      <c r="F26" s="7"/>
      <c r="G26" s="7"/>
      <c r="J26" s="1" t="s">
        <v>28</v>
      </c>
      <c r="K26" s="13">
        <v>0.28910000000000002</v>
      </c>
      <c r="L26" s="7">
        <v>-7.9799999999999996E-2</v>
      </c>
      <c r="M26" s="7">
        <v>2.8302999999999998</v>
      </c>
      <c r="N26" s="7">
        <v>-2.8037000000000001</v>
      </c>
      <c r="S26" s="1" t="s">
        <v>28</v>
      </c>
      <c r="T26" s="13">
        <v>0.43259999999999998</v>
      </c>
      <c r="U26" s="7">
        <v>-2.3400000000000001E-2</v>
      </c>
      <c r="V26" s="7">
        <v>3.0983999999999998</v>
      </c>
      <c r="W26" s="7">
        <v>-4.0987</v>
      </c>
      <c r="X26" s="7"/>
      <c r="Y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rizal</dc:creator>
  <cp:lastModifiedBy>farhan.rizal1103</cp:lastModifiedBy>
  <dcterms:created xsi:type="dcterms:W3CDTF">2015-06-05T18:17:20Z</dcterms:created>
  <dcterms:modified xsi:type="dcterms:W3CDTF">2026-05-23T14:44:57Z</dcterms:modified>
</cp:coreProperties>
</file>