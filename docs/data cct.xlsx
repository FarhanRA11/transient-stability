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Kuliah\SKRIPSI\docs\"/>
    </mc:Choice>
  </mc:AlternateContent>
  <xr:revisionPtr revIDLastSave="0" documentId="13_ncr:1_{B49AA222-4E5D-4450-BB32-669BC0E89E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adflow" sheetId="6" r:id="rId1"/>
    <sheet name="virtual inertia" sheetId="7" r:id="rId2"/>
    <sheet name="Sheet1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7" l="1"/>
  <c r="U12" i="7"/>
  <c r="U16" i="7"/>
  <c r="U13" i="7"/>
  <c r="U14" i="7"/>
  <c r="U15" i="7"/>
  <c r="U9" i="7"/>
  <c r="U7" i="7"/>
  <c r="U5" i="7"/>
  <c r="U8" i="7"/>
  <c r="U2" i="7"/>
  <c r="U3" i="7"/>
  <c r="U4" i="7"/>
  <c r="U6" i="7"/>
  <c r="U10" i="7"/>
  <c r="T7" i="7"/>
  <c r="T11" i="7"/>
  <c r="T6" i="7"/>
  <c r="T5" i="7"/>
  <c r="T3" i="7"/>
  <c r="T16" i="7"/>
  <c r="T15" i="7"/>
  <c r="T13" i="7"/>
  <c r="T12" i="7"/>
  <c r="T10" i="7"/>
  <c r="T9" i="7"/>
  <c r="T8" i="7"/>
  <c r="T4" i="7"/>
  <c r="T2" i="7"/>
  <c r="T14" i="7"/>
</calcChain>
</file>

<file path=xl/sharedStrings.xml><?xml version="1.0" encoding="utf-8"?>
<sst xmlns="http://schemas.openxmlformats.org/spreadsheetml/2006/main" count="133" uniqueCount="64">
  <si>
    <t>bus 1</t>
  </si>
  <si>
    <t>gen 1</t>
  </si>
  <si>
    <t>load 1</t>
  </si>
  <si>
    <t>ang (deg)</t>
  </si>
  <si>
    <t>V (pu)</t>
  </si>
  <si>
    <t>Q (pu)</t>
  </si>
  <si>
    <t>P (pu)</t>
  </si>
  <si>
    <t>bus 2</t>
  </si>
  <si>
    <t>gen 2</t>
  </si>
  <si>
    <t>load 2</t>
  </si>
  <si>
    <t>bus 3</t>
  </si>
  <si>
    <t>gen 3</t>
  </si>
  <si>
    <t>load 3</t>
  </si>
  <si>
    <t>line 12</t>
  </si>
  <si>
    <t>data jaringan</t>
  </si>
  <si>
    <t>Pm (pu)</t>
  </si>
  <si>
    <t>H (s)</t>
  </si>
  <si>
    <t>D (pu_T/pu_w)</t>
  </si>
  <si>
    <t>Z (pu)</t>
  </si>
  <si>
    <t>Sbase = 1MVA</t>
  </si>
  <si>
    <t>j.088</t>
  </si>
  <si>
    <t>j.05</t>
  </si>
  <si>
    <t>j.015</t>
  </si>
  <si>
    <t>j.46</t>
  </si>
  <si>
    <t>line 13</t>
  </si>
  <si>
    <t>j.26</t>
  </si>
  <si>
    <t>line 23</t>
  </si>
  <si>
    <t>j.0806</t>
  </si>
  <si>
    <t>f = 50</t>
  </si>
  <si>
    <t>pv bus 1</t>
  </si>
  <si>
    <t>without pv</t>
  </si>
  <si>
    <t>P (MW)</t>
  </si>
  <si>
    <t>Q (MVAR)</t>
  </si>
  <si>
    <t>rating (MW)</t>
  </si>
  <si>
    <t>with pv</t>
  </si>
  <si>
    <t>pv 1</t>
  </si>
  <si>
    <t>H</t>
  </si>
  <si>
    <t>D</t>
  </si>
  <si>
    <t>cct 1</t>
  </si>
  <si>
    <t>cct 2</t>
  </si>
  <si>
    <t>cct 3</t>
  </si>
  <si>
    <t>no</t>
  </si>
  <si>
    <t>base</t>
  </si>
  <si>
    <t>under</t>
  </si>
  <si>
    <t>opt</t>
  </si>
  <si>
    <t>over</t>
  </si>
  <si>
    <t>unblncd</t>
  </si>
  <si>
    <t>high inert</t>
  </si>
  <si>
    <t>high dmp</t>
  </si>
  <si>
    <t>d&gt;h</t>
  </si>
  <si>
    <t>d=h</t>
  </si>
  <si>
    <t>d&lt;h</t>
  </si>
  <si>
    <t>extreme</t>
  </si>
  <si>
    <t>cct bus 1</t>
  </si>
  <si>
    <t>cct bus 2</t>
  </si>
  <si>
    <t>cct bus 3</t>
  </si>
  <si>
    <t>mod</t>
  </si>
  <si>
    <t>high d</t>
  </si>
  <si>
    <t>high g</t>
  </si>
  <si>
    <t>d/h</t>
  </si>
  <si>
    <t>d/h^2</t>
  </si>
  <si>
    <t>PV di bus 1</t>
  </si>
  <si>
    <t>PV di bus 2</t>
  </si>
  <si>
    <t>PV di bus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</si>
</sst>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5ED1C-51AC-48B2-B2D1-BC0E28F46B08}" name="Table1" displayName="Table1" ref="N1:U17" totalsRowShown="0">
  <autoFilter ref="N1:U17" xr:uid="{CF45ED1C-51AC-48B2-B2D1-BC0E28F46B08}"/>
  <sortState xmlns:xlrd2="http://schemas.microsoft.com/office/spreadsheetml/2017/richdata2" ref="N2:U17">
    <sortCondition descending="1" ref="P1:P17"/>
  </sortState>
  <tableColumns count="8">
    <tableColumn id="1" xr3:uid="{41B5C8E5-F484-4406-B545-97B636EB5622}" name="no"/>
    <tableColumn id="2" xr3:uid="{BB402D04-D61B-4E38-9BA8-30CFF13BDF1F}" name="D"/>
    <tableColumn id="3" xr3:uid="{2084CA23-C47A-47A1-B191-BB4F036E682F}" name="H"/>
    <tableColumn id="4" xr3:uid="{D6655E16-37D8-4BFE-951A-819B3F0BED14}" name="cct bus 1"/>
    <tableColumn id="5" xr3:uid="{715C69B9-0394-4104-84B3-DF9122C84D5A}" name="cct bus 2"/>
    <tableColumn id="6" xr3:uid="{79D6D3C2-2E5E-425E-91A9-21F89CED84C2}" name="cct bus 3" dataDxfId="1"/>
    <tableColumn id="7" xr3:uid="{D7C531B4-C448-400F-BC08-2978799A30A2}" name="d/h" dataDxfId="0"/>
    <tableColumn id="8" xr3:uid="{65A6EEB3-EA5C-40E8-819F-6E2BCAD58FC2}" name="d/h^2">
      <calculatedColumnFormula>Table1[[#This Row],[D]]/(Table1[[#This Row],[H]]*Table1[[#This Row],[H]])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F8181-C887-4D3D-9250-D03688631C47}" name="Table2" displayName="Table2" ref="A2:E18" totalsRowShown="0">
  <autoFilter ref="A2:E18" xr:uid="{70CF8181-C887-4D3D-9250-D03688631C47}"/>
  <tableColumns count="5">
    <tableColumn id="1" xr3:uid="{481619F8-E5C7-4DFD-B3C4-1B0FD6DC95D0}" name="D"/>
    <tableColumn id="2" xr3:uid="{D90CEECB-7635-4D5F-AE20-80BC62957AA3}" name="H"/>
    <tableColumn id="3" xr3:uid="{79D5E9EC-116D-4BE2-BB18-B79F1752347E}" name="cct bus 1"/>
    <tableColumn id="4" xr3:uid="{8B25C5D5-332C-46C4-8651-EBA8D5AE9832}" name="cct bus 2"/>
    <tableColumn id="5" xr3:uid="{2DD03535-360C-46DD-8AE7-1ECF5FE9EDD3}" name="cct bus 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5DDA57-3FFC-4078-9D8A-A8217F5CC613}" name="Table3" displayName="Table3" ref="G2:K18" totalsRowShown="0">
  <autoFilter ref="G2:K18" xr:uid="{FA5DDA57-3FFC-4078-9D8A-A8217F5CC613}"/>
  <tableColumns count="5">
    <tableColumn id="1" xr3:uid="{6937B670-AEA1-4693-813F-4493F7E093EC}" name="D"/>
    <tableColumn id="2" xr3:uid="{D12B2FDF-61EE-49A1-9CB1-B38997E1FDE2}" name="H"/>
    <tableColumn id="3" xr3:uid="{C7F4219B-78F3-437A-96B2-EC08CC3AD0B6}" name="cct bus 1"/>
    <tableColumn id="4" xr3:uid="{1B592FE9-4A70-4303-8388-8FB49A884D00}" name="cct bus 2"/>
    <tableColumn id="5" xr3:uid="{DA50B6EC-F513-4199-81C1-5346C271D114}" name="cct bus 3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52ED20-409C-4A79-96FE-C3C11DF84CB0}" name="Table4" displayName="Table4" ref="M2:Q18" totalsRowShown="0">
  <autoFilter ref="M2:Q18" xr:uid="{0752ED20-409C-4A79-96FE-C3C11DF84CB0}"/>
  <tableColumns count="5">
    <tableColumn id="1" xr3:uid="{4C2CC540-13E9-44B7-A0A8-9E13C1F0640B}" name="D"/>
    <tableColumn id="2" xr3:uid="{B3599118-F38B-492B-A5BF-943FA61972F7}" name="H"/>
    <tableColumn id="3" xr3:uid="{5A4B3773-0898-4572-9AC5-DE2681505804}" name="cct bus 1"/>
    <tableColumn id="4" xr3:uid="{E1B0205D-3126-4A19-947C-ADC18FEC2CC3}" name="cct bus 2"/>
    <tableColumn id="5" xr3:uid="{D37BFDF0-1293-4C50-86EC-E003AAD33BB2}" name="cct bus 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60B4-ED55-40DD-92A1-37B9D33FAA46}">
  <dimension ref="A1:S20"/>
  <sheetViews>
    <sheetView workbookViewId="0">
      <selection activeCell="G20" sqref="G20"/>
    </sheetView>
  </sheetViews>
  <sheetFormatPr defaultRowHeight="14.4" x14ac:dyDescent="0.3"/>
  <cols>
    <col min="3" max="3" width="9.21875" bestFit="1" customWidth="1"/>
    <col min="4" max="4" width="13.109375" bestFit="1" customWidth="1"/>
    <col min="17" max="17" width="9.21875" bestFit="1" customWidth="1"/>
  </cols>
  <sheetData>
    <row r="1" spans="1:19" x14ac:dyDescent="0.3">
      <c r="A1" t="s">
        <v>14</v>
      </c>
      <c r="G1" t="s">
        <v>30</v>
      </c>
      <c r="N1" t="s">
        <v>34</v>
      </c>
    </row>
    <row r="2" spans="1:19" x14ac:dyDescent="0.3">
      <c r="A2" t="s">
        <v>19</v>
      </c>
      <c r="C2" t="s">
        <v>28</v>
      </c>
      <c r="I2" t="s">
        <v>6</v>
      </c>
      <c r="J2" t="s">
        <v>5</v>
      </c>
      <c r="K2" t="s">
        <v>4</v>
      </c>
      <c r="L2" t="s">
        <v>3</v>
      </c>
      <c r="P2" t="s">
        <v>6</v>
      </c>
      <c r="Q2" t="s">
        <v>5</v>
      </c>
      <c r="R2" t="s">
        <v>4</v>
      </c>
      <c r="S2" t="s">
        <v>3</v>
      </c>
    </row>
    <row r="3" spans="1:19" x14ac:dyDescent="0.3">
      <c r="G3" t="s">
        <v>0</v>
      </c>
      <c r="H3" t="s">
        <v>1</v>
      </c>
      <c r="I3">
        <v>2.4900000000000002</v>
      </c>
      <c r="J3">
        <v>0.57999999999999996</v>
      </c>
      <c r="K3">
        <v>1</v>
      </c>
      <c r="L3">
        <v>14.9415</v>
      </c>
      <c r="N3" t="s">
        <v>0</v>
      </c>
      <c r="O3" t="s">
        <v>1</v>
      </c>
      <c r="P3">
        <v>2.4900000000000002</v>
      </c>
      <c r="Q3">
        <v>1.0552999999999999</v>
      </c>
      <c r="R3">
        <v>1</v>
      </c>
      <c r="S3">
        <v>30.905200000000001</v>
      </c>
    </row>
    <row r="4" spans="1:19" x14ac:dyDescent="0.3">
      <c r="B4" t="s">
        <v>15</v>
      </c>
      <c r="C4" t="s">
        <v>16</v>
      </c>
      <c r="D4" t="s">
        <v>17</v>
      </c>
      <c r="E4" t="s">
        <v>18</v>
      </c>
      <c r="H4" t="s">
        <v>2</v>
      </c>
      <c r="I4">
        <v>1.5</v>
      </c>
      <c r="J4">
        <v>0.45</v>
      </c>
      <c r="K4">
        <v>1</v>
      </c>
      <c r="L4">
        <v>14.9415</v>
      </c>
      <c r="O4" t="s">
        <v>2</v>
      </c>
      <c r="P4">
        <v>1.5</v>
      </c>
      <c r="Q4">
        <v>0.45</v>
      </c>
      <c r="R4">
        <v>1</v>
      </c>
      <c r="S4">
        <v>30.905200000000001</v>
      </c>
    </row>
    <row r="5" spans="1:19" x14ac:dyDescent="0.3">
      <c r="A5" t="s">
        <v>1</v>
      </c>
      <c r="B5">
        <v>2.4900000000000002</v>
      </c>
      <c r="C5">
        <v>10</v>
      </c>
      <c r="D5">
        <v>20</v>
      </c>
      <c r="E5" t="s">
        <v>20</v>
      </c>
      <c r="G5" t="s">
        <v>7</v>
      </c>
      <c r="H5" t="s">
        <v>8</v>
      </c>
      <c r="I5">
        <v>4.21</v>
      </c>
      <c r="J5">
        <v>0.72199999999999998</v>
      </c>
      <c r="K5">
        <v>1</v>
      </c>
      <c r="L5">
        <v>14.986000000000001</v>
      </c>
      <c r="O5" t="s">
        <v>35</v>
      </c>
      <c r="P5">
        <v>1.492</v>
      </c>
      <c r="Q5" s="1">
        <v>6.0689999999999995E-4</v>
      </c>
      <c r="R5">
        <v>1</v>
      </c>
      <c r="S5">
        <v>30.905200000000001</v>
      </c>
    </row>
    <row r="6" spans="1:19" x14ac:dyDescent="0.3">
      <c r="A6" t="s">
        <v>8</v>
      </c>
      <c r="B6">
        <v>4.21</v>
      </c>
      <c r="C6">
        <v>15</v>
      </c>
      <c r="D6">
        <v>20</v>
      </c>
      <c r="E6" t="s">
        <v>21</v>
      </c>
      <c r="H6" t="s">
        <v>9</v>
      </c>
      <c r="I6">
        <v>1</v>
      </c>
      <c r="J6">
        <v>0.3</v>
      </c>
      <c r="K6">
        <v>1</v>
      </c>
      <c r="L6">
        <v>14.986000000000001</v>
      </c>
      <c r="N6" t="s">
        <v>7</v>
      </c>
      <c r="O6" t="s">
        <v>8</v>
      </c>
      <c r="P6">
        <v>4.21</v>
      </c>
      <c r="Q6">
        <v>0.92959999999999998</v>
      </c>
      <c r="R6">
        <v>1</v>
      </c>
      <c r="S6">
        <v>17.430800000000001</v>
      </c>
    </row>
    <row r="7" spans="1:19" x14ac:dyDescent="0.3">
      <c r="A7" t="s">
        <v>11</v>
      </c>
      <c r="B7">
        <v>8.1999999999999993</v>
      </c>
      <c r="C7">
        <v>60</v>
      </c>
      <c r="D7">
        <v>20</v>
      </c>
      <c r="E7" t="s">
        <v>22</v>
      </c>
      <c r="G7" t="s">
        <v>10</v>
      </c>
      <c r="H7" t="s">
        <v>11</v>
      </c>
      <c r="I7">
        <v>8.2001000000000008</v>
      </c>
      <c r="J7">
        <v>3.052</v>
      </c>
      <c r="K7">
        <v>1</v>
      </c>
      <c r="L7">
        <v>0</v>
      </c>
      <c r="O7" t="s">
        <v>9</v>
      </c>
      <c r="P7">
        <v>1</v>
      </c>
      <c r="Q7">
        <v>0.3</v>
      </c>
      <c r="R7">
        <v>1</v>
      </c>
      <c r="S7">
        <v>17.430800000000001</v>
      </c>
    </row>
    <row r="8" spans="1:19" x14ac:dyDescent="0.3">
      <c r="H8" t="s">
        <v>12</v>
      </c>
      <c r="I8">
        <v>12.4</v>
      </c>
      <c r="J8">
        <v>2.5</v>
      </c>
      <c r="K8">
        <v>1</v>
      </c>
      <c r="L8">
        <v>0</v>
      </c>
      <c r="N8" t="s">
        <v>10</v>
      </c>
      <c r="O8" t="s">
        <v>11</v>
      </c>
      <c r="P8">
        <v>6.7080000000000002</v>
      </c>
      <c r="Q8">
        <v>3.6158000000000001</v>
      </c>
      <c r="R8">
        <v>1</v>
      </c>
      <c r="S8">
        <v>0</v>
      </c>
    </row>
    <row r="9" spans="1:19" x14ac:dyDescent="0.3">
      <c r="B9" t="s">
        <v>6</v>
      </c>
      <c r="C9" t="s">
        <v>5</v>
      </c>
      <c r="O9" t="s">
        <v>12</v>
      </c>
      <c r="P9">
        <v>12.4</v>
      </c>
      <c r="Q9">
        <v>2.5</v>
      </c>
      <c r="R9">
        <v>1</v>
      </c>
      <c r="S9">
        <v>0</v>
      </c>
    </row>
    <row r="10" spans="1:19" x14ac:dyDescent="0.3">
      <c r="A10" t="s">
        <v>2</v>
      </c>
      <c r="B10">
        <v>1.5</v>
      </c>
      <c r="C10">
        <v>0.45</v>
      </c>
    </row>
    <row r="11" spans="1:19" x14ac:dyDescent="0.3">
      <c r="A11" t="s">
        <v>9</v>
      </c>
      <c r="B11">
        <v>1</v>
      </c>
      <c r="C11">
        <v>0.3</v>
      </c>
    </row>
    <row r="12" spans="1:19" x14ac:dyDescent="0.3">
      <c r="A12" t="s">
        <v>12</v>
      </c>
      <c r="B12">
        <v>12.4</v>
      </c>
      <c r="C12">
        <v>2.5</v>
      </c>
    </row>
    <row r="14" spans="1:19" x14ac:dyDescent="0.3">
      <c r="B14" t="s">
        <v>18</v>
      </c>
    </row>
    <row r="15" spans="1:19" x14ac:dyDescent="0.3">
      <c r="A15" t="s">
        <v>13</v>
      </c>
      <c r="B15" t="s">
        <v>23</v>
      </c>
    </row>
    <row r="16" spans="1:19" x14ac:dyDescent="0.3">
      <c r="A16" t="s">
        <v>24</v>
      </c>
      <c r="B16" t="s">
        <v>25</v>
      </c>
    </row>
    <row r="17" spans="1:4" x14ac:dyDescent="0.3">
      <c r="A17" t="s">
        <v>26</v>
      </c>
      <c r="B17" t="s">
        <v>27</v>
      </c>
    </row>
    <row r="19" spans="1:4" x14ac:dyDescent="0.3">
      <c r="B19" t="s">
        <v>31</v>
      </c>
      <c r="C19" t="s">
        <v>32</v>
      </c>
      <c r="D19" t="s">
        <v>33</v>
      </c>
    </row>
    <row r="20" spans="1:4" x14ac:dyDescent="0.3">
      <c r="A20" t="s">
        <v>29</v>
      </c>
      <c r="B20">
        <v>1.492</v>
      </c>
      <c r="C20" s="1">
        <v>6.0689999999999995E-4</v>
      </c>
      <c r="D2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6F2C-E667-4C9C-B06E-36468202F6DE}">
  <dimension ref="A1:U106"/>
  <sheetViews>
    <sheetView topLeftCell="A87" zoomScale="130" zoomScaleNormal="130" workbookViewId="0">
      <selection activeCell="A90" sqref="A90:E106"/>
    </sheetView>
  </sheetViews>
  <sheetFormatPr defaultRowHeight="14.4" x14ac:dyDescent="0.3"/>
  <cols>
    <col min="15" max="16" width="9.44140625" customWidth="1"/>
    <col min="17" max="19" width="10.5546875" bestFit="1" customWidth="1"/>
  </cols>
  <sheetData>
    <row r="1" spans="5:21" x14ac:dyDescent="0.3">
      <c r="F1" t="s">
        <v>37</v>
      </c>
      <c r="G1" t="s">
        <v>36</v>
      </c>
      <c r="H1" t="s">
        <v>38</v>
      </c>
      <c r="I1" t="s">
        <v>39</v>
      </c>
      <c r="J1" t="s">
        <v>40</v>
      </c>
      <c r="N1" t="s">
        <v>41</v>
      </c>
      <c r="O1" t="s">
        <v>37</v>
      </c>
      <c r="P1" t="s">
        <v>36</v>
      </c>
      <c r="Q1" t="s">
        <v>53</v>
      </c>
      <c r="R1" t="s">
        <v>54</v>
      </c>
      <c r="S1" t="s">
        <v>55</v>
      </c>
      <c r="T1" t="s">
        <v>59</v>
      </c>
      <c r="U1" t="s">
        <v>60</v>
      </c>
    </row>
    <row r="2" spans="5:21" x14ac:dyDescent="0.3">
      <c r="E2" t="s">
        <v>41</v>
      </c>
      <c r="F2">
        <v>-1</v>
      </c>
      <c r="G2">
        <v>-1</v>
      </c>
      <c r="H2">
        <v>0.17799999999999999</v>
      </c>
      <c r="I2">
        <v>0.126</v>
      </c>
      <c r="J2">
        <v>0.19600000000000001</v>
      </c>
      <c r="N2">
        <v>16</v>
      </c>
      <c r="O2">
        <v>1</v>
      </c>
      <c r="P2">
        <v>8</v>
      </c>
      <c r="Q2">
        <v>2.18E-2</v>
      </c>
      <c r="R2">
        <v>0.11890000000000001</v>
      </c>
      <c r="S2">
        <v>0.2223</v>
      </c>
      <c r="T2">
        <f>Table1[[#This Row],[D]]/Table1[[#This Row],[H]]</f>
        <v>0.125</v>
      </c>
      <c r="U2">
        <f>Table1[[#This Row],[D]]/(Table1[[#This Row],[H]]*Table1[[#This Row],[H]])</f>
        <v>1.5625E-2</v>
      </c>
    </row>
    <row r="3" spans="5:21" x14ac:dyDescent="0.3">
      <c r="E3" t="s">
        <v>42</v>
      </c>
      <c r="F3">
        <v>0</v>
      </c>
      <c r="G3">
        <v>0</v>
      </c>
      <c r="H3">
        <v>2.1000000000000001E-2</v>
      </c>
      <c r="I3">
        <v>0.13800000000000001</v>
      </c>
      <c r="J3">
        <v>0.27800000000000002</v>
      </c>
      <c r="N3">
        <v>7</v>
      </c>
      <c r="O3">
        <v>0.5</v>
      </c>
      <c r="P3">
        <v>8</v>
      </c>
      <c r="Q3">
        <v>2.18E-2</v>
      </c>
      <c r="R3">
        <v>0.11890000000000001</v>
      </c>
      <c r="S3">
        <v>0.2223</v>
      </c>
      <c r="T3">
        <f>Table1[[#This Row],[D]]/Table1[[#This Row],[H]]</f>
        <v>6.25E-2</v>
      </c>
      <c r="U3">
        <f>Table1[[#This Row],[D]]/(Table1[[#This Row],[H]]*Table1[[#This Row],[H]])</f>
        <v>7.8125E-3</v>
      </c>
    </row>
    <row r="4" spans="5:21" x14ac:dyDescent="0.3">
      <c r="E4" t="s">
        <v>43</v>
      </c>
      <c r="F4">
        <v>1</v>
      </c>
      <c r="G4">
        <v>0.5</v>
      </c>
      <c r="N4">
        <v>15</v>
      </c>
      <c r="O4">
        <v>1</v>
      </c>
      <c r="P4">
        <v>6</v>
      </c>
      <c r="Q4">
        <v>2.18E-2</v>
      </c>
      <c r="R4">
        <v>0.11890000000000001</v>
      </c>
      <c r="S4">
        <v>0.2157</v>
      </c>
      <c r="T4">
        <f>Table1[[#This Row],[D]]/Table1[[#This Row],[H]]</f>
        <v>0.16666666666666666</v>
      </c>
      <c r="U4">
        <f>Table1[[#This Row],[D]]/(Table1[[#This Row],[H]]*Table1[[#This Row],[H]])</f>
        <v>2.7777777777777776E-2</v>
      </c>
    </row>
    <row r="5" spans="5:21" x14ac:dyDescent="0.3">
      <c r="E5" t="s">
        <v>44</v>
      </c>
      <c r="F5">
        <v>4</v>
      </c>
      <c r="G5">
        <v>2</v>
      </c>
      <c r="N5">
        <v>6</v>
      </c>
      <c r="O5">
        <v>10</v>
      </c>
      <c r="P5">
        <v>5</v>
      </c>
      <c r="Q5">
        <v>2.18E-2</v>
      </c>
      <c r="R5">
        <v>0.11890000000000001</v>
      </c>
      <c r="S5">
        <v>0.2346</v>
      </c>
      <c r="T5">
        <f>Table1[[#This Row],[D]]/Table1[[#This Row],[H]]</f>
        <v>2</v>
      </c>
      <c r="U5">
        <f>Table1[[#This Row],[D]]/(Table1[[#This Row],[H]]*Table1[[#This Row],[H]])</f>
        <v>0.4</v>
      </c>
    </row>
    <row r="6" spans="5:21" x14ac:dyDescent="0.3">
      <c r="E6" t="s">
        <v>48</v>
      </c>
      <c r="F6">
        <v>8</v>
      </c>
      <c r="G6">
        <v>0.5</v>
      </c>
      <c r="N6">
        <v>5</v>
      </c>
      <c r="O6">
        <v>1</v>
      </c>
      <c r="P6">
        <v>4</v>
      </c>
      <c r="Q6">
        <v>2.18E-2</v>
      </c>
      <c r="R6">
        <v>0.11890000000000001</v>
      </c>
      <c r="S6">
        <v>0.20330000000000001</v>
      </c>
      <c r="T6">
        <f>Table1[[#This Row],[D]]/Table1[[#This Row],[H]]</f>
        <v>0.25</v>
      </c>
      <c r="U6">
        <f>Table1[[#This Row],[D]]/(Table1[[#This Row],[H]]*Table1[[#This Row],[H]])</f>
        <v>6.25E-2</v>
      </c>
    </row>
    <row r="7" spans="5:21" x14ac:dyDescent="0.3">
      <c r="E7" t="s">
        <v>47</v>
      </c>
      <c r="F7">
        <v>1</v>
      </c>
      <c r="G7">
        <v>4</v>
      </c>
      <c r="N7">
        <v>3</v>
      </c>
      <c r="O7">
        <v>4</v>
      </c>
      <c r="P7">
        <v>2</v>
      </c>
      <c r="Q7">
        <v>2.18E-2</v>
      </c>
      <c r="R7">
        <v>0.11890000000000001</v>
      </c>
      <c r="S7">
        <v>0.24110000000000001</v>
      </c>
      <c r="T7">
        <f>Table1[[#This Row],[D]]/Table1[[#This Row],[H]]</f>
        <v>2</v>
      </c>
      <c r="U7">
        <f>Table1[[#This Row],[D]]/(Table1[[#This Row],[H]]*Table1[[#This Row],[H]])</f>
        <v>1</v>
      </c>
    </row>
    <row r="8" spans="5:21" x14ac:dyDescent="0.3">
      <c r="E8" t="s">
        <v>45</v>
      </c>
      <c r="F8">
        <v>10</v>
      </c>
      <c r="G8">
        <v>5</v>
      </c>
      <c r="N8">
        <v>14</v>
      </c>
      <c r="O8">
        <v>1</v>
      </c>
      <c r="P8">
        <v>2</v>
      </c>
      <c r="Q8">
        <v>2.18E-2</v>
      </c>
      <c r="R8">
        <v>0.11890000000000001</v>
      </c>
      <c r="S8">
        <v>0.2346</v>
      </c>
      <c r="T8">
        <f>Table1[[#This Row],[D]]/Table1[[#This Row],[H]]</f>
        <v>0.5</v>
      </c>
      <c r="U8">
        <f>Table1[[#This Row],[D]]/(Table1[[#This Row],[H]]*Table1[[#This Row],[H]])</f>
        <v>0.25</v>
      </c>
    </row>
    <row r="9" spans="5:21" x14ac:dyDescent="0.3">
      <c r="E9" t="s">
        <v>46</v>
      </c>
      <c r="F9">
        <v>0.5</v>
      </c>
      <c r="G9">
        <v>5</v>
      </c>
      <c r="N9">
        <v>13</v>
      </c>
      <c r="O9">
        <v>1</v>
      </c>
      <c r="P9">
        <v>1</v>
      </c>
      <c r="Q9">
        <v>2.18E-2</v>
      </c>
      <c r="R9">
        <v>0.11890000000000001</v>
      </c>
      <c r="S9">
        <v>0.25359999999999999</v>
      </c>
      <c r="T9">
        <f>Table1[[#This Row],[D]]/Table1[[#This Row],[H]]</f>
        <v>1</v>
      </c>
      <c r="U9">
        <f>Table1[[#This Row],[D]]/(Table1[[#This Row],[H]]*Table1[[#This Row],[H]])</f>
        <v>1</v>
      </c>
    </row>
    <row r="10" spans="5:21" x14ac:dyDescent="0.3">
      <c r="N10">
        <v>12</v>
      </c>
      <c r="O10">
        <v>12</v>
      </c>
      <c r="P10">
        <v>0.5</v>
      </c>
      <c r="Q10">
        <v>2.18E-2</v>
      </c>
      <c r="R10">
        <v>0.11890000000000001</v>
      </c>
      <c r="S10">
        <v>0.31009999999999999</v>
      </c>
      <c r="T10">
        <f>Table1[[#This Row],[D]]/Table1[[#This Row],[H]]</f>
        <v>24</v>
      </c>
      <c r="U10">
        <f>Table1[[#This Row],[D]]/(Table1[[#This Row],[H]]*Table1[[#This Row],[H]])</f>
        <v>48</v>
      </c>
    </row>
    <row r="11" spans="5:21" x14ac:dyDescent="0.3">
      <c r="F11" t="s">
        <v>37</v>
      </c>
      <c r="G11" t="s">
        <v>36</v>
      </c>
      <c r="H11" t="s">
        <v>53</v>
      </c>
      <c r="I11" t="s">
        <v>54</v>
      </c>
      <c r="J11" t="s">
        <v>55</v>
      </c>
      <c r="N11">
        <v>4</v>
      </c>
      <c r="O11">
        <v>8</v>
      </c>
      <c r="P11">
        <v>0.5</v>
      </c>
      <c r="Q11">
        <v>2.18E-2</v>
      </c>
      <c r="R11">
        <v>0.11890000000000001</v>
      </c>
      <c r="S11">
        <v>0.29730000000000001</v>
      </c>
      <c r="T11">
        <f>Table1[[#This Row],[D]]/Table1[[#This Row],[H]]</f>
        <v>16</v>
      </c>
      <c r="U11">
        <f>Table1[[#This Row],[D]]/(Table1[[#This Row],[H]]*Table1[[#This Row],[H]])</f>
        <v>32</v>
      </c>
    </row>
    <row r="12" spans="5:21" x14ac:dyDescent="0.3">
      <c r="E12" t="s">
        <v>50</v>
      </c>
      <c r="F12">
        <v>0.1</v>
      </c>
      <c r="G12">
        <v>0.1</v>
      </c>
      <c r="H12">
        <v>7.4999999999999997E-2</v>
      </c>
      <c r="I12">
        <v>0.11799999999999999</v>
      </c>
      <c r="J12">
        <v>0.31</v>
      </c>
      <c r="N12">
        <v>11</v>
      </c>
      <c r="O12">
        <v>4</v>
      </c>
      <c r="P12">
        <v>0.5</v>
      </c>
      <c r="Q12">
        <v>2.18E-2</v>
      </c>
      <c r="R12">
        <v>0.11890000000000001</v>
      </c>
      <c r="S12">
        <v>0.27860000000000001</v>
      </c>
      <c r="T12">
        <f>Table1[[#This Row],[D]]/Table1[[#This Row],[H]]</f>
        <v>8</v>
      </c>
      <c r="U12">
        <f>Table1[[#This Row],[D]]/(Table1[[#This Row],[H]]*Table1[[#This Row],[H]])</f>
        <v>16</v>
      </c>
    </row>
    <row r="13" spans="5:21" x14ac:dyDescent="0.3">
      <c r="F13">
        <v>0.2</v>
      </c>
      <c r="G13">
        <v>0.2</v>
      </c>
      <c r="H13">
        <v>2.5000000000000001E-2</v>
      </c>
      <c r="I13">
        <v>0.11799999999999999</v>
      </c>
      <c r="J13">
        <v>0.29099999999999998</v>
      </c>
      <c r="N13">
        <v>10</v>
      </c>
      <c r="O13">
        <v>2</v>
      </c>
      <c r="P13">
        <v>0.5</v>
      </c>
      <c r="Q13">
        <v>2.18E-2</v>
      </c>
      <c r="R13">
        <v>0.11890000000000001</v>
      </c>
      <c r="S13">
        <v>0.27239999999999998</v>
      </c>
      <c r="T13">
        <f>Table1[[#This Row],[D]]/Table1[[#This Row],[H]]</f>
        <v>4</v>
      </c>
      <c r="U13">
        <f>Table1[[#This Row],[D]]/(Table1[[#This Row],[H]]*Table1[[#This Row],[H]])</f>
        <v>8</v>
      </c>
    </row>
    <row r="14" spans="5:21" x14ac:dyDescent="0.3">
      <c r="F14">
        <v>0.3</v>
      </c>
      <c r="G14">
        <v>0.3</v>
      </c>
      <c r="H14">
        <v>2.5000000000000001E-2</v>
      </c>
      <c r="I14">
        <v>0.11799999999999999</v>
      </c>
      <c r="J14">
        <v>0.27200000000000002</v>
      </c>
      <c r="N14">
        <v>2</v>
      </c>
      <c r="O14">
        <v>1</v>
      </c>
      <c r="P14">
        <v>0.5</v>
      </c>
      <c r="Q14">
        <v>2.18E-2</v>
      </c>
      <c r="R14">
        <v>0.11890000000000001</v>
      </c>
      <c r="S14">
        <v>0.26629999999999998</v>
      </c>
      <c r="T14">
        <f>Table1[[#This Row],[D]]/Table1[[#This Row],[H]]</f>
        <v>2</v>
      </c>
      <c r="U14">
        <f>Table1[[#This Row],[D]]/(Table1[[#This Row],[H]]*Table1[[#This Row],[H]])</f>
        <v>4</v>
      </c>
    </row>
    <row r="15" spans="5:21" x14ac:dyDescent="0.3">
      <c r="F15">
        <v>0.4</v>
      </c>
      <c r="G15">
        <v>0.4</v>
      </c>
      <c r="H15">
        <v>2.5000000000000001E-2</v>
      </c>
      <c r="I15">
        <v>0.11799999999999999</v>
      </c>
      <c r="J15">
        <v>0.27200000000000002</v>
      </c>
      <c r="N15">
        <v>9</v>
      </c>
      <c r="O15">
        <v>0.5</v>
      </c>
      <c r="P15">
        <v>0.5</v>
      </c>
      <c r="Q15">
        <v>2.18E-2</v>
      </c>
      <c r="R15">
        <v>0.11890000000000001</v>
      </c>
      <c r="S15">
        <v>0.25990000000000002</v>
      </c>
      <c r="T15">
        <f>Table1[[#This Row],[D]]/Table1[[#This Row],[H]]</f>
        <v>1</v>
      </c>
      <c r="U15">
        <f>Table1[[#This Row],[D]]/(Table1[[#This Row],[H]]*Table1[[#This Row],[H]])</f>
        <v>2</v>
      </c>
    </row>
    <row r="16" spans="5:21" x14ac:dyDescent="0.3">
      <c r="F16">
        <v>0.5</v>
      </c>
      <c r="G16">
        <v>0.5</v>
      </c>
      <c r="H16">
        <v>2.5000000000000001E-2</v>
      </c>
      <c r="I16">
        <v>0.11799999999999999</v>
      </c>
      <c r="J16">
        <v>0.27200000000000002</v>
      </c>
      <c r="N16">
        <v>8</v>
      </c>
      <c r="O16">
        <v>0.1</v>
      </c>
      <c r="P16">
        <v>0.1</v>
      </c>
      <c r="Q16">
        <v>2.18E-2</v>
      </c>
      <c r="R16">
        <v>0.11890000000000001</v>
      </c>
      <c r="S16">
        <v>0.27260000000000001</v>
      </c>
      <c r="T16">
        <f>Table1[[#This Row],[D]]/Table1[[#This Row],[H]]</f>
        <v>1</v>
      </c>
      <c r="U16">
        <f>Table1[[#This Row],[D]]/(Table1[[#This Row],[H]]*Table1[[#This Row],[H]])</f>
        <v>9.9999999999999982</v>
      </c>
    </row>
    <row r="17" spans="5:19" x14ac:dyDescent="0.3">
      <c r="E17" t="s">
        <v>49</v>
      </c>
      <c r="F17">
        <v>0.3</v>
      </c>
      <c r="G17">
        <v>0.1</v>
      </c>
      <c r="H17">
        <v>2.5000000000000001E-2</v>
      </c>
      <c r="I17">
        <v>0.11799999999999999</v>
      </c>
      <c r="J17">
        <v>0.27200000000000002</v>
      </c>
      <c r="N17">
        <v>1</v>
      </c>
      <c r="O17">
        <v>0</v>
      </c>
      <c r="P17">
        <v>0</v>
      </c>
      <c r="Q17">
        <v>2.18E-2</v>
      </c>
      <c r="R17">
        <v>0.11890000000000001</v>
      </c>
      <c r="S17">
        <v>0.27860000000000001</v>
      </c>
    </row>
    <row r="18" spans="5:19" x14ac:dyDescent="0.3">
      <c r="F18">
        <v>0.4</v>
      </c>
      <c r="G18">
        <v>0.2</v>
      </c>
      <c r="H18">
        <v>2.5000000000000001E-2</v>
      </c>
      <c r="I18">
        <v>0.11799999999999999</v>
      </c>
      <c r="J18">
        <v>0.27200000000000002</v>
      </c>
    </row>
    <row r="19" spans="5:19" x14ac:dyDescent="0.3">
      <c r="F19">
        <v>0.5</v>
      </c>
      <c r="G19">
        <v>0.1</v>
      </c>
      <c r="H19">
        <v>2.5000000000000001E-2</v>
      </c>
      <c r="I19">
        <v>0.11799999999999999</v>
      </c>
      <c r="J19">
        <v>0.27200000000000002</v>
      </c>
    </row>
    <row r="20" spans="5:19" x14ac:dyDescent="0.3">
      <c r="E20" t="s">
        <v>51</v>
      </c>
      <c r="F20">
        <v>0.1</v>
      </c>
      <c r="G20">
        <v>0.3</v>
      </c>
      <c r="H20">
        <v>2.1000000000000001E-2</v>
      </c>
      <c r="I20">
        <v>0.11799999999999999</v>
      </c>
      <c r="J20">
        <v>0.31</v>
      </c>
    </row>
    <row r="21" spans="5:19" x14ac:dyDescent="0.3">
      <c r="F21">
        <v>0.2</v>
      </c>
      <c r="G21">
        <v>0.4</v>
      </c>
      <c r="H21">
        <v>2.5000000000000001E-2</v>
      </c>
      <c r="I21">
        <v>0.11799999999999999</v>
      </c>
      <c r="J21">
        <v>0.29099999999999998</v>
      </c>
    </row>
    <row r="22" spans="5:19" x14ac:dyDescent="0.3">
      <c r="F22">
        <v>0.1</v>
      </c>
      <c r="G22">
        <v>0.5</v>
      </c>
      <c r="H22">
        <v>2.1000000000000001E-2</v>
      </c>
      <c r="I22">
        <v>0.11799999999999999</v>
      </c>
      <c r="J22">
        <v>0.31</v>
      </c>
    </row>
    <row r="23" spans="5:19" x14ac:dyDescent="0.3">
      <c r="E23" t="s">
        <v>52</v>
      </c>
      <c r="F23">
        <v>0.05</v>
      </c>
      <c r="G23">
        <v>0.05</v>
      </c>
      <c r="H23">
        <v>2.1000000000000001E-2</v>
      </c>
      <c r="I23">
        <v>0.11799999999999999</v>
      </c>
      <c r="J23">
        <v>0.34699999999999998</v>
      </c>
    </row>
    <row r="24" spans="5:19" x14ac:dyDescent="0.3">
      <c r="F24">
        <v>0.05</v>
      </c>
      <c r="G24">
        <v>0.2</v>
      </c>
      <c r="H24">
        <v>2.1000000000000001E-2</v>
      </c>
      <c r="I24">
        <v>0.11799999999999999</v>
      </c>
      <c r="J24">
        <v>0.34699999999999998</v>
      </c>
    </row>
    <row r="25" spans="5:19" x14ac:dyDescent="0.3">
      <c r="F25">
        <v>0.2</v>
      </c>
      <c r="G25">
        <v>0.05</v>
      </c>
      <c r="H25">
        <v>2.5000000000000001E-2</v>
      </c>
      <c r="I25">
        <v>0.11799999999999999</v>
      </c>
      <c r="J25">
        <v>0.29099999999999998</v>
      </c>
    </row>
    <row r="27" spans="5:19" x14ac:dyDescent="0.3">
      <c r="F27">
        <v>0.08</v>
      </c>
      <c r="G27">
        <v>0.08</v>
      </c>
    </row>
    <row r="28" spans="5:19" x14ac:dyDescent="0.3">
      <c r="F28">
        <v>0.1</v>
      </c>
      <c r="G28">
        <v>0.05</v>
      </c>
    </row>
    <row r="29" spans="5:19" x14ac:dyDescent="0.3">
      <c r="F29">
        <v>0.05</v>
      </c>
      <c r="G29">
        <v>0.1</v>
      </c>
    </row>
    <row r="30" spans="5:19" x14ac:dyDescent="0.3">
      <c r="F30">
        <v>0.15</v>
      </c>
      <c r="G30">
        <v>0.15</v>
      </c>
    </row>
    <row r="35" spans="5:10" x14ac:dyDescent="0.3">
      <c r="F35" t="s">
        <v>37</v>
      </c>
      <c r="G35" t="s">
        <v>36</v>
      </c>
      <c r="H35" t="s">
        <v>53</v>
      </c>
      <c r="I35" t="s">
        <v>54</v>
      </c>
      <c r="J35" t="s">
        <v>55</v>
      </c>
    </row>
    <row r="36" spans="5:10" x14ac:dyDescent="0.3">
      <c r="E36" t="s">
        <v>42</v>
      </c>
      <c r="F36">
        <v>0</v>
      </c>
      <c r="G36">
        <v>0</v>
      </c>
      <c r="H36">
        <v>2.18E-2</v>
      </c>
      <c r="I36">
        <v>0.11890000000000001</v>
      </c>
      <c r="J36">
        <v>0.27860000000000001</v>
      </c>
    </row>
    <row r="37" spans="5:10" x14ac:dyDescent="0.3">
      <c r="E37" t="s">
        <v>43</v>
      </c>
      <c r="F37">
        <v>1</v>
      </c>
      <c r="G37">
        <v>0.5</v>
      </c>
      <c r="H37">
        <v>2.18E-2</v>
      </c>
      <c r="I37">
        <v>0.11890000000000001</v>
      </c>
      <c r="J37">
        <v>0.26629999999999998</v>
      </c>
    </row>
    <row r="38" spans="5:10" x14ac:dyDescent="0.3">
      <c r="E38" t="s">
        <v>56</v>
      </c>
      <c r="F38">
        <v>4</v>
      </c>
      <c r="G38">
        <v>2</v>
      </c>
      <c r="H38">
        <v>2.18E-2</v>
      </c>
      <c r="I38">
        <v>0.11890000000000001</v>
      </c>
      <c r="J38">
        <v>0.24110000000000001</v>
      </c>
    </row>
    <row r="39" spans="5:10" x14ac:dyDescent="0.3">
      <c r="E39" t="s">
        <v>57</v>
      </c>
      <c r="F39">
        <v>8</v>
      </c>
      <c r="G39">
        <v>0.5</v>
      </c>
      <c r="H39">
        <v>2.18E-2</v>
      </c>
      <c r="I39">
        <v>0.11890000000000001</v>
      </c>
      <c r="J39">
        <v>0.29730000000000001</v>
      </c>
    </row>
    <row r="40" spans="5:10" x14ac:dyDescent="0.3">
      <c r="E40" t="s">
        <v>58</v>
      </c>
      <c r="F40">
        <v>1</v>
      </c>
      <c r="G40">
        <v>4</v>
      </c>
      <c r="H40">
        <v>2.18E-2</v>
      </c>
      <c r="I40">
        <v>0.11890000000000001</v>
      </c>
      <c r="J40">
        <v>0.20330000000000001</v>
      </c>
    </row>
    <row r="41" spans="5:10" x14ac:dyDescent="0.3">
      <c r="E41" t="s">
        <v>45</v>
      </c>
      <c r="F41">
        <v>10</v>
      </c>
      <c r="G41">
        <v>5</v>
      </c>
      <c r="H41">
        <v>2.18E-2</v>
      </c>
      <c r="I41">
        <v>0.11890000000000001</v>
      </c>
      <c r="J41">
        <v>0.2346</v>
      </c>
    </row>
    <row r="42" spans="5:10" x14ac:dyDescent="0.3">
      <c r="E42" t="s">
        <v>52</v>
      </c>
      <c r="F42" s="2">
        <v>0.5</v>
      </c>
      <c r="G42" s="2">
        <v>8</v>
      </c>
      <c r="H42">
        <v>2.18E-2</v>
      </c>
      <c r="I42">
        <v>0.11890000000000001</v>
      </c>
      <c r="J42">
        <v>0.2223</v>
      </c>
    </row>
    <row r="43" spans="5:10" x14ac:dyDescent="0.3">
      <c r="F43">
        <v>0.1</v>
      </c>
      <c r="G43">
        <v>0.1</v>
      </c>
      <c r="H43">
        <v>2.18E-2</v>
      </c>
      <c r="I43">
        <v>0.11890000000000001</v>
      </c>
      <c r="J43">
        <v>0.27260000000000001</v>
      </c>
    </row>
    <row r="44" spans="5:10" x14ac:dyDescent="0.3">
      <c r="F44" s="2">
        <v>0.5</v>
      </c>
      <c r="G44" s="2">
        <v>0.5</v>
      </c>
      <c r="H44">
        <v>2.18E-2</v>
      </c>
      <c r="I44">
        <v>0.11890000000000001</v>
      </c>
      <c r="J44">
        <v>0.25990000000000002</v>
      </c>
    </row>
    <row r="45" spans="5:10" x14ac:dyDescent="0.3">
      <c r="F45">
        <v>2</v>
      </c>
      <c r="G45">
        <v>0.5</v>
      </c>
      <c r="H45">
        <v>2.18E-2</v>
      </c>
      <c r="I45">
        <v>0.11890000000000001</v>
      </c>
      <c r="J45">
        <v>0.27239999999999998</v>
      </c>
    </row>
    <row r="46" spans="5:10" x14ac:dyDescent="0.3">
      <c r="F46">
        <v>4</v>
      </c>
      <c r="G46">
        <v>0.5</v>
      </c>
      <c r="H46">
        <v>2.18E-2</v>
      </c>
      <c r="I46">
        <v>0.11890000000000001</v>
      </c>
      <c r="J46">
        <v>0.27860000000000001</v>
      </c>
    </row>
    <row r="47" spans="5:10" x14ac:dyDescent="0.3">
      <c r="F47" s="2">
        <v>12</v>
      </c>
      <c r="G47" s="2">
        <v>0.5</v>
      </c>
      <c r="H47">
        <v>2.18E-2</v>
      </c>
      <c r="I47">
        <v>0.11890000000000001</v>
      </c>
      <c r="J47">
        <v>0.31009999999999999</v>
      </c>
    </row>
    <row r="48" spans="5:10" x14ac:dyDescent="0.3">
      <c r="F48">
        <v>1</v>
      </c>
      <c r="G48">
        <v>1</v>
      </c>
      <c r="H48">
        <v>2.18E-2</v>
      </c>
      <c r="I48">
        <v>0.11890000000000001</v>
      </c>
      <c r="J48">
        <v>0.25359999999999999</v>
      </c>
    </row>
    <row r="49" spans="1:10" x14ac:dyDescent="0.3">
      <c r="F49">
        <v>1</v>
      </c>
      <c r="G49">
        <v>2</v>
      </c>
      <c r="H49">
        <v>2.18E-2</v>
      </c>
      <c r="I49">
        <v>0.11890000000000001</v>
      </c>
      <c r="J49">
        <v>0.2346</v>
      </c>
    </row>
    <row r="50" spans="1:10" x14ac:dyDescent="0.3">
      <c r="F50">
        <v>1</v>
      </c>
      <c r="G50">
        <v>6</v>
      </c>
      <c r="H50">
        <v>2.18E-2</v>
      </c>
      <c r="I50">
        <v>0.11890000000000001</v>
      </c>
      <c r="J50">
        <v>0.2157</v>
      </c>
    </row>
    <row r="51" spans="1:10" x14ac:dyDescent="0.3">
      <c r="F51">
        <v>1</v>
      </c>
      <c r="G51">
        <v>8</v>
      </c>
      <c r="H51">
        <v>2.18E-2</v>
      </c>
      <c r="I51">
        <v>0.11890000000000001</v>
      </c>
      <c r="J51">
        <v>0.2223</v>
      </c>
    </row>
    <row r="54" spans="1:10" x14ac:dyDescent="0.3">
      <c r="A54" t="s">
        <v>37</v>
      </c>
      <c r="B54" t="s">
        <v>36</v>
      </c>
      <c r="C54" t="s">
        <v>53</v>
      </c>
      <c r="D54" t="s">
        <v>54</v>
      </c>
      <c r="E54" t="s">
        <v>55</v>
      </c>
    </row>
    <row r="55" spans="1:10" x14ac:dyDescent="0.3">
      <c r="A55">
        <v>0</v>
      </c>
      <c r="B55">
        <v>0</v>
      </c>
      <c r="C55">
        <v>2.18E-2</v>
      </c>
      <c r="D55">
        <v>0.11890000000000001</v>
      </c>
      <c r="E55">
        <v>0.27860000000000001</v>
      </c>
    </row>
    <row r="56" spans="1:10" x14ac:dyDescent="0.3">
      <c r="A56">
        <v>1</v>
      </c>
      <c r="B56">
        <v>0.5</v>
      </c>
      <c r="C56">
        <v>2.18E-2</v>
      </c>
      <c r="D56">
        <v>0.11890000000000001</v>
      </c>
      <c r="E56">
        <v>0.26629999999999998</v>
      </c>
    </row>
    <row r="57" spans="1:10" x14ac:dyDescent="0.3">
      <c r="A57">
        <v>4</v>
      </c>
      <c r="B57">
        <v>2</v>
      </c>
      <c r="C57">
        <v>2.18E-2</v>
      </c>
      <c r="D57">
        <v>0.11890000000000001</v>
      </c>
      <c r="E57">
        <v>0.24110000000000001</v>
      </c>
    </row>
    <row r="58" spans="1:10" x14ac:dyDescent="0.3">
      <c r="A58">
        <v>8</v>
      </c>
      <c r="B58">
        <v>0.5</v>
      </c>
      <c r="C58">
        <v>2.18E-2</v>
      </c>
      <c r="D58">
        <v>0.11890000000000001</v>
      </c>
      <c r="E58">
        <v>0.29730000000000001</v>
      </c>
    </row>
    <row r="59" spans="1:10" x14ac:dyDescent="0.3">
      <c r="A59">
        <v>1</v>
      </c>
      <c r="B59">
        <v>4</v>
      </c>
      <c r="C59">
        <v>2.18E-2</v>
      </c>
      <c r="D59">
        <v>0.11890000000000001</v>
      </c>
      <c r="E59">
        <v>0.20330000000000001</v>
      </c>
    </row>
    <row r="60" spans="1:10" x14ac:dyDescent="0.3">
      <c r="A60">
        <v>10</v>
      </c>
      <c r="B60">
        <v>5</v>
      </c>
      <c r="C60">
        <v>2.18E-2</v>
      </c>
      <c r="D60">
        <v>0.11890000000000001</v>
      </c>
      <c r="E60">
        <v>0.2346</v>
      </c>
    </row>
    <row r="61" spans="1:10" x14ac:dyDescent="0.3">
      <c r="A61" s="2">
        <v>0.5</v>
      </c>
      <c r="B61" s="2">
        <v>8</v>
      </c>
      <c r="C61">
        <v>2.18E-2</v>
      </c>
      <c r="D61">
        <v>0.11890000000000001</v>
      </c>
      <c r="E61">
        <v>0.2223</v>
      </c>
    </row>
    <row r="62" spans="1:10" x14ac:dyDescent="0.3">
      <c r="A62">
        <v>0.1</v>
      </c>
      <c r="B62">
        <v>0.1</v>
      </c>
      <c r="C62">
        <v>2.18E-2</v>
      </c>
      <c r="D62">
        <v>0.11890000000000001</v>
      </c>
      <c r="E62">
        <v>0.27260000000000001</v>
      </c>
    </row>
    <row r="63" spans="1:10" x14ac:dyDescent="0.3">
      <c r="A63" s="2">
        <v>0.5</v>
      </c>
      <c r="B63" s="2">
        <v>0.5</v>
      </c>
      <c r="C63">
        <v>2.18E-2</v>
      </c>
      <c r="D63">
        <v>0.11890000000000001</v>
      </c>
      <c r="E63">
        <v>0.25990000000000002</v>
      </c>
    </row>
    <row r="64" spans="1:10" x14ac:dyDescent="0.3">
      <c r="A64">
        <v>2</v>
      </c>
      <c r="B64">
        <v>0.5</v>
      </c>
      <c r="C64">
        <v>2.18E-2</v>
      </c>
      <c r="D64">
        <v>0.11890000000000001</v>
      </c>
      <c r="E64">
        <v>0.27239999999999998</v>
      </c>
    </row>
    <row r="65" spans="1:5" x14ac:dyDescent="0.3">
      <c r="A65">
        <v>4</v>
      </c>
      <c r="B65">
        <v>0.5</v>
      </c>
      <c r="C65">
        <v>2.18E-2</v>
      </c>
      <c r="D65">
        <v>0.11890000000000001</v>
      </c>
      <c r="E65">
        <v>0.27860000000000001</v>
      </c>
    </row>
    <row r="66" spans="1:5" x14ac:dyDescent="0.3">
      <c r="A66" s="2">
        <v>12</v>
      </c>
      <c r="B66" s="2">
        <v>0.5</v>
      </c>
      <c r="C66">
        <v>2.18E-2</v>
      </c>
      <c r="D66">
        <v>0.11890000000000001</v>
      </c>
      <c r="E66">
        <v>0.31009999999999999</v>
      </c>
    </row>
    <row r="67" spans="1:5" x14ac:dyDescent="0.3">
      <c r="A67">
        <v>1</v>
      </c>
      <c r="B67">
        <v>1</v>
      </c>
      <c r="C67">
        <v>2.18E-2</v>
      </c>
      <c r="D67">
        <v>0.11890000000000001</v>
      </c>
      <c r="E67">
        <v>0.25359999999999999</v>
      </c>
    </row>
    <row r="68" spans="1:5" x14ac:dyDescent="0.3">
      <c r="A68">
        <v>1</v>
      </c>
      <c r="B68">
        <v>2</v>
      </c>
      <c r="C68">
        <v>2.18E-2</v>
      </c>
      <c r="D68">
        <v>0.11890000000000001</v>
      </c>
      <c r="E68">
        <v>0.2346</v>
      </c>
    </row>
    <row r="69" spans="1:5" x14ac:dyDescent="0.3">
      <c r="A69">
        <v>1</v>
      </c>
      <c r="B69">
        <v>6</v>
      </c>
      <c r="C69">
        <v>2.18E-2</v>
      </c>
      <c r="D69">
        <v>0.11890000000000001</v>
      </c>
      <c r="E69">
        <v>0.2157</v>
      </c>
    </row>
    <row r="70" spans="1:5" x14ac:dyDescent="0.3">
      <c r="A70">
        <v>1</v>
      </c>
      <c r="B70">
        <v>8</v>
      </c>
      <c r="C70">
        <v>2.18E-2</v>
      </c>
      <c r="D70">
        <v>0.11890000000000001</v>
      </c>
      <c r="E70">
        <v>0.2223</v>
      </c>
    </row>
    <row r="72" spans="1:5" x14ac:dyDescent="0.3">
      <c r="A72" t="s">
        <v>37</v>
      </c>
      <c r="B72" t="s">
        <v>36</v>
      </c>
      <c r="C72" t="s">
        <v>53</v>
      </c>
      <c r="D72" t="s">
        <v>54</v>
      </c>
      <c r="E72" t="s">
        <v>55</v>
      </c>
    </row>
    <row r="73" spans="1:5" x14ac:dyDescent="0.3">
      <c r="A73">
        <v>0</v>
      </c>
      <c r="B73">
        <v>0</v>
      </c>
      <c r="C73">
        <v>0.1232</v>
      </c>
      <c r="D73">
        <v>0.1633</v>
      </c>
      <c r="E73">
        <v>0.1807</v>
      </c>
    </row>
    <row r="74" spans="1:5" x14ac:dyDescent="0.3">
      <c r="A74">
        <v>1</v>
      </c>
      <c r="B74">
        <v>0.5</v>
      </c>
      <c r="C74">
        <v>0.1232</v>
      </c>
      <c r="D74">
        <v>0.1633</v>
      </c>
      <c r="E74">
        <v>0.1807</v>
      </c>
    </row>
    <row r="75" spans="1:5" x14ac:dyDescent="0.3">
      <c r="A75">
        <v>4</v>
      </c>
      <c r="B75">
        <v>2</v>
      </c>
      <c r="C75">
        <v>0.10349999999999999</v>
      </c>
      <c r="D75">
        <v>0.1633</v>
      </c>
      <c r="E75">
        <v>0.21879999999999999</v>
      </c>
    </row>
    <row r="76" spans="1:5" x14ac:dyDescent="0.3">
      <c r="A76">
        <v>8</v>
      </c>
      <c r="B76">
        <v>0.5</v>
      </c>
      <c r="C76">
        <v>0.10349999999999999</v>
      </c>
      <c r="D76">
        <v>0.1633</v>
      </c>
      <c r="E76">
        <v>0.21579999999999999</v>
      </c>
    </row>
    <row r="77" spans="1:5" x14ac:dyDescent="0.3">
      <c r="A77">
        <v>1</v>
      </c>
      <c r="B77">
        <v>4</v>
      </c>
      <c r="C77">
        <v>0.10349999999999999</v>
      </c>
      <c r="D77">
        <v>0.1633</v>
      </c>
      <c r="E77">
        <v>0.23780000000000001</v>
      </c>
    </row>
    <row r="78" spans="1:5" x14ac:dyDescent="0.3">
      <c r="A78">
        <v>10</v>
      </c>
      <c r="B78">
        <v>5</v>
      </c>
      <c r="C78">
        <v>0.10349999999999999</v>
      </c>
      <c r="D78">
        <v>0.1633</v>
      </c>
      <c r="E78">
        <v>0.2445</v>
      </c>
    </row>
    <row r="79" spans="1:5" x14ac:dyDescent="0.3">
      <c r="A79" s="2">
        <v>0.5</v>
      </c>
      <c r="B79" s="2">
        <v>8</v>
      </c>
      <c r="C79">
        <v>0.10349999999999999</v>
      </c>
      <c r="D79">
        <v>0.1633</v>
      </c>
      <c r="E79">
        <v>0.2445</v>
      </c>
    </row>
    <row r="80" spans="1:5" x14ac:dyDescent="0.3">
      <c r="A80">
        <v>0.1</v>
      </c>
      <c r="B80">
        <v>0.1</v>
      </c>
      <c r="C80">
        <v>0.1232</v>
      </c>
      <c r="D80">
        <v>0.1633</v>
      </c>
      <c r="E80">
        <v>0.1807</v>
      </c>
    </row>
    <row r="81" spans="1:5" x14ac:dyDescent="0.3">
      <c r="A81" s="2">
        <v>0.5</v>
      </c>
      <c r="B81" s="2">
        <v>0.5</v>
      </c>
      <c r="C81">
        <v>0.1232</v>
      </c>
      <c r="D81">
        <v>0.1633</v>
      </c>
      <c r="E81">
        <v>0.1807</v>
      </c>
    </row>
    <row r="82" spans="1:5" x14ac:dyDescent="0.3">
      <c r="A82">
        <v>2</v>
      </c>
      <c r="B82">
        <v>0.5</v>
      </c>
      <c r="C82">
        <v>0.1232</v>
      </c>
      <c r="D82">
        <v>0.1633</v>
      </c>
      <c r="E82">
        <v>0.1807</v>
      </c>
    </row>
    <row r="83" spans="1:5" x14ac:dyDescent="0.3">
      <c r="A83">
        <v>4</v>
      </c>
      <c r="B83">
        <v>0.5</v>
      </c>
      <c r="C83">
        <v>0.10349999999999999</v>
      </c>
      <c r="D83">
        <v>0.1633</v>
      </c>
      <c r="E83">
        <v>0.18079999999999999</v>
      </c>
    </row>
    <row r="84" spans="1:5" x14ac:dyDescent="0.3">
      <c r="A84" s="2">
        <v>12</v>
      </c>
      <c r="B84" s="2">
        <v>0.5</v>
      </c>
      <c r="C84">
        <v>0.10349999999999999</v>
      </c>
      <c r="D84">
        <v>0.1633</v>
      </c>
      <c r="E84">
        <v>0.21579999999999999</v>
      </c>
    </row>
    <row r="85" spans="1:5" x14ac:dyDescent="0.3">
      <c r="A85">
        <v>1</v>
      </c>
      <c r="B85">
        <v>1</v>
      </c>
      <c r="C85">
        <v>0.10349999999999999</v>
      </c>
      <c r="D85">
        <v>0.1633</v>
      </c>
      <c r="E85">
        <v>0.21879999999999999</v>
      </c>
    </row>
    <row r="86" spans="1:5" x14ac:dyDescent="0.3">
      <c r="A86">
        <v>1</v>
      </c>
      <c r="B86">
        <v>2</v>
      </c>
      <c r="C86">
        <v>0.10349999999999999</v>
      </c>
      <c r="D86">
        <v>0.1633</v>
      </c>
      <c r="E86">
        <v>0.21879999999999999</v>
      </c>
    </row>
    <row r="87" spans="1:5" x14ac:dyDescent="0.3">
      <c r="A87">
        <v>1</v>
      </c>
      <c r="B87">
        <v>6</v>
      </c>
      <c r="C87">
        <v>0.10349999999999999</v>
      </c>
      <c r="D87">
        <v>0.1633</v>
      </c>
      <c r="E87">
        <v>0.2445</v>
      </c>
    </row>
    <row r="88" spans="1:5" x14ac:dyDescent="0.3">
      <c r="A88">
        <v>1</v>
      </c>
      <c r="B88">
        <v>8</v>
      </c>
      <c r="C88">
        <v>0.10349999999999999</v>
      </c>
      <c r="D88">
        <v>0.1633</v>
      </c>
      <c r="E88">
        <v>0.2445</v>
      </c>
    </row>
    <row r="90" spans="1:5" x14ac:dyDescent="0.3">
      <c r="A90" t="s">
        <v>37</v>
      </c>
      <c r="B90" t="s">
        <v>36</v>
      </c>
      <c r="C90" t="s">
        <v>53</v>
      </c>
      <c r="D90" t="s">
        <v>54</v>
      </c>
      <c r="E90" t="s">
        <v>55</v>
      </c>
    </row>
    <row r="91" spans="1:5" x14ac:dyDescent="0.3">
      <c r="A91">
        <v>0</v>
      </c>
      <c r="B91">
        <v>0</v>
      </c>
      <c r="C91">
        <v>0.10349999999999999</v>
      </c>
      <c r="D91">
        <v>8.3699999999999997E-2</v>
      </c>
    </row>
    <row r="92" spans="1:5" x14ac:dyDescent="0.3">
      <c r="A92">
        <v>1</v>
      </c>
      <c r="B92">
        <v>0.5</v>
      </c>
      <c r="C92">
        <v>0.10349999999999999</v>
      </c>
      <c r="D92">
        <v>8.3699999999999997E-2</v>
      </c>
    </row>
    <row r="93" spans="1:5" x14ac:dyDescent="0.3">
      <c r="A93">
        <v>4</v>
      </c>
      <c r="B93">
        <v>2</v>
      </c>
      <c r="C93">
        <v>0.10349999999999999</v>
      </c>
      <c r="D93">
        <v>8.3699999999999997E-2</v>
      </c>
    </row>
    <row r="94" spans="1:5" x14ac:dyDescent="0.3">
      <c r="A94">
        <v>8</v>
      </c>
      <c r="B94">
        <v>0.5</v>
      </c>
      <c r="C94">
        <v>0.10349999999999999</v>
      </c>
      <c r="D94">
        <v>8.3699999999999997E-2</v>
      </c>
    </row>
    <row r="95" spans="1:5" x14ac:dyDescent="0.3">
      <c r="A95">
        <v>1</v>
      </c>
      <c r="B95">
        <v>4</v>
      </c>
      <c r="C95">
        <v>0.10349999999999999</v>
      </c>
      <c r="D95">
        <v>8.3699999999999997E-2</v>
      </c>
    </row>
    <row r="96" spans="1:5" x14ac:dyDescent="0.3">
      <c r="A96">
        <v>10</v>
      </c>
      <c r="B96">
        <v>5</v>
      </c>
      <c r="C96">
        <v>0.10349999999999999</v>
      </c>
      <c r="D96">
        <v>8.3699999999999997E-2</v>
      </c>
    </row>
    <row r="97" spans="1:4" x14ac:dyDescent="0.3">
      <c r="A97" s="2">
        <v>0.5</v>
      </c>
      <c r="B97" s="2">
        <v>8</v>
      </c>
      <c r="C97">
        <v>0.10349999999999999</v>
      </c>
      <c r="D97">
        <v>8.3699999999999997E-2</v>
      </c>
    </row>
    <row r="98" spans="1:4" x14ac:dyDescent="0.3">
      <c r="A98">
        <v>0.1</v>
      </c>
      <c r="B98">
        <v>0.1</v>
      </c>
      <c r="C98">
        <v>0.10349999999999999</v>
      </c>
      <c r="D98">
        <v>8.3699999999999997E-2</v>
      </c>
    </row>
    <row r="99" spans="1:4" x14ac:dyDescent="0.3">
      <c r="A99" s="2">
        <v>0.5</v>
      </c>
      <c r="B99" s="2">
        <v>0.5</v>
      </c>
      <c r="C99">
        <v>0.10349999999999999</v>
      </c>
      <c r="D99">
        <v>8.3699999999999997E-2</v>
      </c>
    </row>
    <row r="100" spans="1:4" x14ac:dyDescent="0.3">
      <c r="A100">
        <v>2</v>
      </c>
      <c r="B100">
        <v>0.5</v>
      </c>
      <c r="C100">
        <v>0.10349999999999999</v>
      </c>
      <c r="D100">
        <v>8.3699999999999997E-2</v>
      </c>
    </row>
    <row r="101" spans="1:4" x14ac:dyDescent="0.3">
      <c r="A101">
        <v>4</v>
      </c>
      <c r="B101">
        <v>0.5</v>
      </c>
      <c r="C101">
        <v>0.10349999999999999</v>
      </c>
      <c r="D101">
        <v>8.3699999999999997E-2</v>
      </c>
    </row>
    <row r="102" spans="1:4" x14ac:dyDescent="0.3">
      <c r="A102" s="2">
        <v>12</v>
      </c>
      <c r="B102" s="2">
        <v>0.5</v>
      </c>
      <c r="C102">
        <v>0.10349999999999999</v>
      </c>
      <c r="D102">
        <v>8.3699999999999997E-2</v>
      </c>
    </row>
    <row r="103" spans="1:4" x14ac:dyDescent="0.3">
      <c r="A103">
        <v>1</v>
      </c>
      <c r="B103">
        <v>1</v>
      </c>
      <c r="C103">
        <v>0.10349999999999999</v>
      </c>
      <c r="D103">
        <v>8.3699999999999997E-2</v>
      </c>
    </row>
    <row r="104" spans="1:4" x14ac:dyDescent="0.3">
      <c r="A104">
        <v>1</v>
      </c>
      <c r="B104">
        <v>2</v>
      </c>
      <c r="C104">
        <v>0.10349999999999999</v>
      </c>
      <c r="D104">
        <v>8.3699999999999997E-2</v>
      </c>
    </row>
    <row r="105" spans="1:4" x14ac:dyDescent="0.3">
      <c r="A105">
        <v>1</v>
      </c>
      <c r="B105">
        <v>6</v>
      </c>
      <c r="C105">
        <v>0.10349999999999999</v>
      </c>
      <c r="D105">
        <v>8.3699999999999997E-2</v>
      </c>
    </row>
    <row r="106" spans="1:4" x14ac:dyDescent="0.3">
      <c r="A106">
        <v>1</v>
      </c>
      <c r="B106">
        <v>8</v>
      </c>
      <c r="C106">
        <v>0.10349999999999999</v>
      </c>
      <c r="D106">
        <v>8.3699999999999997E-2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672D-B14D-4E77-816F-C1A04AC88BEF}">
  <dimension ref="A1:Q18"/>
  <sheetViews>
    <sheetView tabSelected="1" zoomScale="130" zoomScaleNormal="130" workbookViewId="0">
      <selection activeCell="E20" sqref="E20"/>
    </sheetView>
  </sheetViews>
  <sheetFormatPr defaultRowHeight="14.4" x14ac:dyDescent="0.3"/>
  <cols>
    <col min="3" max="5" width="9.44140625" customWidth="1"/>
    <col min="9" max="11" width="9.44140625" customWidth="1"/>
    <col min="15" max="17" width="9.44140625" customWidth="1"/>
  </cols>
  <sheetData>
    <row r="1" spans="1:17" x14ac:dyDescent="0.3">
      <c r="A1" t="s">
        <v>61</v>
      </c>
      <c r="G1" t="s">
        <v>62</v>
      </c>
      <c r="M1" t="s">
        <v>63</v>
      </c>
    </row>
    <row r="2" spans="1:17" x14ac:dyDescent="0.3">
      <c r="A2" t="s">
        <v>37</v>
      </c>
      <c r="B2" t="s">
        <v>36</v>
      </c>
      <c r="C2" t="s">
        <v>53</v>
      </c>
      <c r="D2" t="s">
        <v>54</v>
      </c>
      <c r="E2" t="s">
        <v>55</v>
      </c>
      <c r="G2" t="s">
        <v>37</v>
      </c>
      <c r="H2" t="s">
        <v>36</v>
      </c>
      <c r="I2" t="s">
        <v>53</v>
      </c>
      <c r="J2" t="s">
        <v>54</v>
      </c>
      <c r="K2" t="s">
        <v>55</v>
      </c>
      <c r="M2" t="s">
        <v>37</v>
      </c>
      <c r="N2" t="s">
        <v>36</v>
      </c>
      <c r="O2" t="s">
        <v>53</v>
      </c>
      <c r="P2" t="s">
        <v>54</v>
      </c>
      <c r="Q2" t="s">
        <v>55</v>
      </c>
    </row>
    <row r="3" spans="1:17" x14ac:dyDescent="0.3">
      <c r="A3">
        <v>0</v>
      </c>
      <c r="B3">
        <v>0</v>
      </c>
      <c r="C3">
        <v>2.18E-2</v>
      </c>
      <c r="D3">
        <v>0.11890000000000001</v>
      </c>
      <c r="E3">
        <v>0.27860000000000001</v>
      </c>
      <c r="G3">
        <v>0</v>
      </c>
      <c r="H3">
        <v>0</v>
      </c>
      <c r="I3">
        <v>0.1232</v>
      </c>
      <c r="J3">
        <v>0.1633</v>
      </c>
      <c r="K3">
        <v>0.1807</v>
      </c>
      <c r="M3">
        <v>0</v>
      </c>
      <c r="N3">
        <v>0</v>
      </c>
      <c r="O3">
        <v>0.10349999999999999</v>
      </c>
      <c r="P3">
        <v>8.3699999999999997E-2</v>
      </c>
      <c r="Q3">
        <v>0.20699999999999999</v>
      </c>
    </row>
    <row r="4" spans="1:17" x14ac:dyDescent="0.3">
      <c r="A4">
        <v>1</v>
      </c>
      <c r="B4">
        <v>0.5</v>
      </c>
      <c r="C4">
        <v>2.18E-2</v>
      </c>
      <c r="D4">
        <v>0.11890000000000001</v>
      </c>
      <c r="E4">
        <v>0.26629999999999998</v>
      </c>
      <c r="G4">
        <v>1</v>
      </c>
      <c r="H4">
        <v>0.5</v>
      </c>
      <c r="I4">
        <v>0.1232</v>
      </c>
      <c r="J4">
        <v>0.1633</v>
      </c>
      <c r="K4">
        <v>0.1807</v>
      </c>
      <c r="M4">
        <v>1</v>
      </c>
      <c r="N4">
        <v>0.5</v>
      </c>
      <c r="O4">
        <v>0.10349999999999999</v>
      </c>
      <c r="P4">
        <v>8.3699999999999997E-2</v>
      </c>
      <c r="Q4">
        <v>0.20699999999999999</v>
      </c>
    </row>
    <row r="5" spans="1:17" x14ac:dyDescent="0.3">
      <c r="A5">
        <v>4</v>
      </c>
      <c r="B5">
        <v>2</v>
      </c>
      <c r="C5">
        <v>2.18E-2</v>
      </c>
      <c r="D5">
        <v>0.11890000000000001</v>
      </c>
      <c r="E5">
        <v>0.24110000000000001</v>
      </c>
      <c r="G5">
        <v>4</v>
      </c>
      <c r="H5">
        <v>2</v>
      </c>
      <c r="I5">
        <v>0.10349999999999999</v>
      </c>
      <c r="J5">
        <v>0.1633</v>
      </c>
      <c r="K5">
        <v>0.21879999999999999</v>
      </c>
      <c r="M5">
        <v>4</v>
      </c>
      <c r="N5">
        <v>2</v>
      </c>
      <c r="O5">
        <v>0.10349999999999999</v>
      </c>
      <c r="P5">
        <v>8.3699999999999997E-2</v>
      </c>
      <c r="Q5">
        <v>0.20699999999999999</v>
      </c>
    </row>
    <row r="6" spans="1:17" x14ac:dyDescent="0.3">
      <c r="A6">
        <v>8</v>
      </c>
      <c r="B6">
        <v>0.5</v>
      </c>
      <c r="C6">
        <v>2.18E-2</v>
      </c>
      <c r="D6">
        <v>0.11890000000000001</v>
      </c>
      <c r="E6">
        <v>0.29730000000000001</v>
      </c>
      <c r="G6">
        <v>8</v>
      </c>
      <c r="H6">
        <v>0.5</v>
      </c>
      <c r="I6">
        <v>0.10349999999999999</v>
      </c>
      <c r="J6">
        <v>0.1633</v>
      </c>
      <c r="K6">
        <v>0.21579999999999999</v>
      </c>
      <c r="M6">
        <v>8</v>
      </c>
      <c r="N6">
        <v>0.5</v>
      </c>
      <c r="O6">
        <v>0.10349999999999999</v>
      </c>
      <c r="P6">
        <v>8.3699999999999997E-2</v>
      </c>
      <c r="Q6">
        <v>0.20699999999999999</v>
      </c>
    </row>
    <row r="7" spans="1:17" x14ac:dyDescent="0.3">
      <c r="A7">
        <v>1</v>
      </c>
      <c r="B7">
        <v>4</v>
      </c>
      <c r="C7">
        <v>2.18E-2</v>
      </c>
      <c r="D7">
        <v>0.11890000000000001</v>
      </c>
      <c r="E7">
        <v>0.20330000000000001</v>
      </c>
      <c r="G7">
        <v>1</v>
      </c>
      <c r="H7">
        <v>4</v>
      </c>
      <c r="I7">
        <v>0.10349999999999999</v>
      </c>
      <c r="J7">
        <v>0.1633</v>
      </c>
      <c r="K7">
        <v>0.23780000000000001</v>
      </c>
      <c r="M7">
        <v>1</v>
      </c>
      <c r="N7">
        <v>4</v>
      </c>
      <c r="O7">
        <v>0.10349999999999999</v>
      </c>
      <c r="P7">
        <v>8.3699999999999997E-2</v>
      </c>
      <c r="Q7">
        <v>0.20699999999999999</v>
      </c>
    </row>
    <row r="8" spans="1:17" x14ac:dyDescent="0.3">
      <c r="A8" s="3">
        <v>10</v>
      </c>
      <c r="B8" s="3">
        <v>5</v>
      </c>
      <c r="C8" s="3">
        <v>2.18E-2</v>
      </c>
      <c r="D8" s="3">
        <v>0.11890000000000001</v>
      </c>
      <c r="E8" s="3">
        <v>0.2346</v>
      </c>
      <c r="F8" s="3"/>
      <c r="G8" s="3">
        <v>10</v>
      </c>
      <c r="H8" s="3">
        <v>5</v>
      </c>
      <c r="I8" s="3">
        <v>0.10349999999999999</v>
      </c>
      <c r="J8" s="3">
        <v>0.1633</v>
      </c>
      <c r="K8" s="3">
        <v>0.2445</v>
      </c>
      <c r="L8" s="3"/>
      <c r="M8" s="3">
        <v>10</v>
      </c>
      <c r="N8" s="3">
        <v>5</v>
      </c>
      <c r="O8">
        <v>0.10349999999999999</v>
      </c>
      <c r="P8">
        <v>8.3699999999999997E-2</v>
      </c>
      <c r="Q8">
        <v>0.20699999999999999</v>
      </c>
    </row>
    <row r="9" spans="1:17" x14ac:dyDescent="0.3">
      <c r="A9" s="3">
        <v>0.5</v>
      </c>
      <c r="B9" s="3">
        <v>8</v>
      </c>
      <c r="C9" s="3">
        <v>2.18E-2</v>
      </c>
      <c r="D9" s="3">
        <v>0.11890000000000001</v>
      </c>
      <c r="E9" s="3">
        <v>0.2223</v>
      </c>
      <c r="F9" s="3"/>
      <c r="G9" s="3">
        <v>0.5</v>
      </c>
      <c r="H9" s="3">
        <v>8</v>
      </c>
      <c r="I9" s="3">
        <v>0.10349999999999999</v>
      </c>
      <c r="J9" s="3">
        <v>0.1633</v>
      </c>
      <c r="K9" s="3">
        <v>0.2445</v>
      </c>
      <c r="L9" s="3"/>
      <c r="M9" s="3">
        <v>0.5</v>
      </c>
      <c r="N9" s="3">
        <v>8</v>
      </c>
      <c r="O9">
        <v>0.10349999999999999</v>
      </c>
      <c r="P9">
        <v>8.3699999999999997E-2</v>
      </c>
      <c r="Q9">
        <v>0.20699999999999999</v>
      </c>
    </row>
    <row r="10" spans="1:17" x14ac:dyDescent="0.3">
      <c r="A10" s="3">
        <v>0.1</v>
      </c>
      <c r="B10" s="3">
        <v>0.1</v>
      </c>
      <c r="C10" s="3">
        <v>2.18E-2</v>
      </c>
      <c r="D10" s="3">
        <v>0.11890000000000001</v>
      </c>
      <c r="E10" s="3">
        <v>0.27260000000000001</v>
      </c>
      <c r="F10" s="3"/>
      <c r="G10" s="3">
        <v>0.1</v>
      </c>
      <c r="H10" s="3">
        <v>0.1</v>
      </c>
      <c r="I10" s="3">
        <v>0.1232</v>
      </c>
      <c r="J10" s="3">
        <v>0.1633</v>
      </c>
      <c r="K10" s="3">
        <v>0.1807</v>
      </c>
      <c r="L10" s="3"/>
      <c r="M10" s="3">
        <v>0.1</v>
      </c>
      <c r="N10" s="3">
        <v>0.1</v>
      </c>
      <c r="O10">
        <v>0.10349999999999999</v>
      </c>
      <c r="P10">
        <v>8.3699999999999997E-2</v>
      </c>
      <c r="Q10">
        <v>0.20699999999999999</v>
      </c>
    </row>
    <row r="11" spans="1:17" x14ac:dyDescent="0.3">
      <c r="A11" s="3">
        <v>0.5</v>
      </c>
      <c r="B11" s="3">
        <v>0.5</v>
      </c>
      <c r="C11" s="3">
        <v>2.18E-2</v>
      </c>
      <c r="D11" s="3">
        <v>0.11890000000000001</v>
      </c>
      <c r="E11" s="3">
        <v>0.25990000000000002</v>
      </c>
      <c r="F11" s="3"/>
      <c r="G11" s="3">
        <v>0.5</v>
      </c>
      <c r="H11" s="3">
        <v>0.5</v>
      </c>
      <c r="I11" s="3">
        <v>0.1232</v>
      </c>
      <c r="J11" s="3">
        <v>0.1633</v>
      </c>
      <c r="K11" s="3">
        <v>0.1807</v>
      </c>
      <c r="L11" s="3"/>
      <c r="M11" s="3">
        <v>0.5</v>
      </c>
      <c r="N11" s="3">
        <v>0.5</v>
      </c>
      <c r="O11">
        <v>0.10349999999999999</v>
      </c>
      <c r="P11">
        <v>8.3699999999999997E-2</v>
      </c>
      <c r="Q11">
        <v>0.20699999999999999</v>
      </c>
    </row>
    <row r="12" spans="1:17" x14ac:dyDescent="0.3">
      <c r="A12" s="3">
        <v>2</v>
      </c>
      <c r="B12" s="3">
        <v>0.5</v>
      </c>
      <c r="C12" s="3">
        <v>2.18E-2</v>
      </c>
      <c r="D12" s="3">
        <v>0.11890000000000001</v>
      </c>
      <c r="E12" s="3">
        <v>0.27239999999999998</v>
      </c>
      <c r="F12" s="3"/>
      <c r="G12" s="3">
        <v>2</v>
      </c>
      <c r="H12" s="3">
        <v>0.5</v>
      </c>
      <c r="I12" s="3">
        <v>0.1232</v>
      </c>
      <c r="J12" s="3">
        <v>0.1633</v>
      </c>
      <c r="K12" s="3">
        <v>0.1807</v>
      </c>
      <c r="L12" s="3"/>
      <c r="M12" s="3">
        <v>2</v>
      </c>
      <c r="N12" s="3">
        <v>0.5</v>
      </c>
      <c r="O12">
        <v>0.10349999999999999</v>
      </c>
      <c r="P12">
        <v>8.3699999999999997E-2</v>
      </c>
      <c r="Q12">
        <v>0.20699999999999999</v>
      </c>
    </row>
    <row r="13" spans="1:17" x14ac:dyDescent="0.3">
      <c r="A13" s="3">
        <v>4</v>
      </c>
      <c r="B13" s="3">
        <v>0.5</v>
      </c>
      <c r="C13" s="3">
        <v>2.18E-2</v>
      </c>
      <c r="D13" s="3">
        <v>0.11890000000000001</v>
      </c>
      <c r="E13" s="3">
        <v>0.27860000000000001</v>
      </c>
      <c r="F13" s="3"/>
      <c r="G13" s="3">
        <v>4</v>
      </c>
      <c r="H13" s="3">
        <v>0.5</v>
      </c>
      <c r="I13" s="3">
        <v>0.10349999999999999</v>
      </c>
      <c r="J13" s="3">
        <v>0.1633</v>
      </c>
      <c r="K13" s="3">
        <v>0.18079999999999999</v>
      </c>
      <c r="L13" s="3"/>
      <c r="M13" s="3">
        <v>4</v>
      </c>
      <c r="N13" s="3">
        <v>0.5</v>
      </c>
      <c r="O13">
        <v>0.10349999999999999</v>
      </c>
      <c r="P13">
        <v>8.3699999999999997E-2</v>
      </c>
      <c r="Q13">
        <v>0.20699999999999999</v>
      </c>
    </row>
    <row r="14" spans="1:17" x14ac:dyDescent="0.3">
      <c r="A14" s="3">
        <v>12</v>
      </c>
      <c r="B14" s="3">
        <v>0.5</v>
      </c>
      <c r="C14" s="3">
        <v>2.18E-2</v>
      </c>
      <c r="D14" s="3">
        <v>0.11890000000000001</v>
      </c>
      <c r="E14" s="3">
        <v>0.31009999999999999</v>
      </c>
      <c r="F14" s="3"/>
      <c r="G14" s="3">
        <v>12</v>
      </c>
      <c r="H14" s="3">
        <v>0.5</v>
      </c>
      <c r="I14" s="3">
        <v>0.10349999999999999</v>
      </c>
      <c r="J14" s="3">
        <v>0.1633</v>
      </c>
      <c r="K14" s="3">
        <v>0.21579999999999999</v>
      </c>
      <c r="L14" s="3"/>
      <c r="M14" s="3">
        <v>12</v>
      </c>
      <c r="N14" s="3">
        <v>0.5</v>
      </c>
      <c r="O14">
        <v>0.10349999999999999</v>
      </c>
      <c r="P14">
        <v>8.3699999999999997E-2</v>
      </c>
      <c r="Q14">
        <v>0.20699999999999999</v>
      </c>
    </row>
    <row r="15" spans="1:17" x14ac:dyDescent="0.3">
      <c r="A15" s="3">
        <v>1</v>
      </c>
      <c r="B15" s="3">
        <v>1</v>
      </c>
      <c r="C15" s="3">
        <v>2.18E-2</v>
      </c>
      <c r="D15" s="3">
        <v>0.11890000000000001</v>
      </c>
      <c r="E15" s="3">
        <v>0.25359999999999999</v>
      </c>
      <c r="F15" s="3"/>
      <c r="G15" s="3">
        <v>1</v>
      </c>
      <c r="H15" s="3">
        <v>1</v>
      </c>
      <c r="I15" s="3">
        <v>0.10349999999999999</v>
      </c>
      <c r="J15" s="3">
        <v>0.1633</v>
      </c>
      <c r="K15" s="3">
        <v>0.21879999999999999</v>
      </c>
      <c r="L15" s="3"/>
      <c r="M15" s="3">
        <v>1</v>
      </c>
      <c r="N15" s="3">
        <v>1</v>
      </c>
      <c r="O15">
        <v>0.10349999999999999</v>
      </c>
      <c r="P15">
        <v>8.3699999999999997E-2</v>
      </c>
      <c r="Q15">
        <v>0.20699999999999999</v>
      </c>
    </row>
    <row r="16" spans="1:17" x14ac:dyDescent="0.3">
      <c r="A16">
        <v>1</v>
      </c>
      <c r="B16">
        <v>2</v>
      </c>
      <c r="C16">
        <v>2.18E-2</v>
      </c>
      <c r="D16">
        <v>0.11890000000000001</v>
      </c>
      <c r="E16">
        <v>0.2346</v>
      </c>
      <c r="G16">
        <v>1</v>
      </c>
      <c r="H16">
        <v>2</v>
      </c>
      <c r="I16">
        <v>0.10349999999999999</v>
      </c>
      <c r="J16">
        <v>0.1633</v>
      </c>
      <c r="K16">
        <v>0.21879999999999999</v>
      </c>
      <c r="M16">
        <v>1</v>
      </c>
      <c r="N16">
        <v>2</v>
      </c>
      <c r="O16">
        <v>0.10349999999999999</v>
      </c>
      <c r="P16">
        <v>8.3699999999999997E-2</v>
      </c>
    </row>
    <row r="17" spans="1:16" x14ac:dyDescent="0.3">
      <c r="A17">
        <v>1</v>
      </c>
      <c r="B17">
        <v>6</v>
      </c>
      <c r="C17">
        <v>2.18E-2</v>
      </c>
      <c r="D17">
        <v>0.11890000000000001</v>
      </c>
      <c r="E17">
        <v>0.2157</v>
      </c>
      <c r="G17">
        <v>1</v>
      </c>
      <c r="H17">
        <v>6</v>
      </c>
      <c r="I17">
        <v>0.10349999999999999</v>
      </c>
      <c r="J17">
        <v>0.1633</v>
      </c>
      <c r="K17">
        <v>0.2445</v>
      </c>
      <c r="M17">
        <v>1</v>
      </c>
      <c r="N17">
        <v>6</v>
      </c>
      <c r="O17">
        <v>0.10349999999999999</v>
      </c>
      <c r="P17">
        <v>8.3699999999999997E-2</v>
      </c>
    </row>
    <row r="18" spans="1:16" x14ac:dyDescent="0.3">
      <c r="A18">
        <v>1</v>
      </c>
      <c r="B18">
        <v>8</v>
      </c>
      <c r="C18">
        <v>2.18E-2</v>
      </c>
      <c r="D18">
        <v>0.11890000000000001</v>
      </c>
      <c r="E18">
        <v>0.2223</v>
      </c>
      <c r="G18">
        <v>1</v>
      </c>
      <c r="H18">
        <v>8</v>
      </c>
      <c r="I18">
        <v>0.10349999999999999</v>
      </c>
      <c r="J18">
        <v>0.1633</v>
      </c>
      <c r="K18">
        <v>0.2445</v>
      </c>
      <c r="M18">
        <v>1</v>
      </c>
      <c r="N18">
        <v>8</v>
      </c>
      <c r="O18">
        <v>0.10349999999999999</v>
      </c>
      <c r="P18">
        <v>8.3699999999999997E-2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loadflow</vt:lpstr>
      <vt:lpstr>virtual inertia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rizal</dc:creator>
  <cp:lastModifiedBy>farhan.rizal1103</cp:lastModifiedBy>
  <dcterms:created xsi:type="dcterms:W3CDTF">2015-06-05T18:17:20Z</dcterms:created>
  <dcterms:modified xsi:type="dcterms:W3CDTF">2026-05-13T13:51:04Z</dcterms:modified>
</cp:coreProperties>
</file>